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defaultThemeVersion="166925"/>
  <mc:AlternateContent xmlns:mc="http://schemas.openxmlformats.org/markup-compatibility/2006">
    <mc:Choice Requires="x15">
      <x15ac:absPath xmlns:x15ac="http://schemas.microsoft.com/office/spreadsheetml/2010/11/ac" url="/Users/tadeusz/Desktop/ASML Valuation/for resume/for github final/"/>
    </mc:Choice>
  </mc:AlternateContent>
  <xr:revisionPtr revIDLastSave="0" documentId="13_ncr:1_{BF177196-CE1B-8843-AD1B-08DD972C0674}" xr6:coauthVersionLast="47" xr6:coauthVersionMax="47" xr10:uidLastSave="{00000000-0000-0000-0000-000000000000}"/>
  <bookViews>
    <workbookView xWindow="5540" yWindow="600" windowWidth="17020" windowHeight="15880" xr2:uid="{B3DB01BF-742C-4D95-AE50-6C3DC90649D4}"/>
  </bookViews>
  <sheets>
    <sheet name="Summary" sheetId="28" r:id="rId1"/>
    <sheet name="Final Valuation" sheetId="27" r:id="rId2"/>
    <sheet name="DCF Model" sheetId="22" r:id="rId3"/>
    <sheet name="Growth (g)" sheetId="24" r:id="rId4"/>
    <sheet name="Multiples Valuation " sheetId="26" r:id="rId5"/>
    <sheet name="ASML Revenue Model" sheetId="11" r:id="rId6"/>
    <sheet name="Pro Forma Financial Statement" sheetId="20" r:id="rId7"/>
    <sheet name="WACC" sheetId="25" r:id="rId8"/>
    <sheet name="Cost Analysis" sheetId="12" r:id="rId9"/>
    <sheet name="Profitability Analysis" sheetId="19" r:id="rId10"/>
    <sheet name="Balance Sheet" sheetId="15" r:id="rId11"/>
    <sheet name="Cash Flow" sheetId="17" r:id="rId12"/>
    <sheet name="Statement of Profit or Loss" sheetId="13" r:id="rId13"/>
    <sheet name="Changes in Equity" sheetId="16" r:id="rId14"/>
    <sheet name="Comprehensive Income" sheetId="14" r:id="rId15"/>
  </sheets>
  <definedNames>
    <definedName name="CIQWBGuid" hidden="1">"afe9a56e-3065-4ad9-a438-fc9f48600bfd"</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"01/29/2013 00:05:37"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Treasury_5Y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11" l="1"/>
  <c r="D16" i="28"/>
  <c r="C39" i="26"/>
  <c r="C38" i="26"/>
  <c r="D32" i="26"/>
  <c r="C32" i="26"/>
  <c r="M61" i="22"/>
  <c r="E79" i="17" l="1"/>
  <c r="D79" i="17"/>
  <c r="C79" i="17"/>
  <c r="B79" i="17"/>
  <c r="L30" i="19"/>
  <c r="M30" i="19"/>
  <c r="N30" i="19"/>
  <c r="O30" i="19"/>
  <c r="P30" i="19"/>
  <c r="Q27" i="19"/>
  <c r="I17" i="22"/>
  <c r="J17" i="22"/>
  <c r="J18" i="22" s="1"/>
  <c r="K17" i="22"/>
  <c r="K18" i="22" s="1"/>
  <c r="L17" i="22"/>
  <c r="L18" i="22" s="1"/>
  <c r="M17" i="22"/>
  <c r="M35" i="22" s="1"/>
  <c r="H38" i="20"/>
  <c r="I38" i="20"/>
  <c r="J38" i="20"/>
  <c r="K38" i="20"/>
  <c r="L38" i="20"/>
  <c r="H30" i="20"/>
  <c r="I30" i="20"/>
  <c r="J30" i="20"/>
  <c r="K30" i="20"/>
  <c r="L30" i="20"/>
  <c r="H16" i="20"/>
  <c r="I16" i="20"/>
  <c r="J16" i="20"/>
  <c r="K16" i="20"/>
  <c r="L16" i="20"/>
  <c r="D71" i="22"/>
  <c r="E26" i="25"/>
  <c r="F26" i="25" s="1"/>
  <c r="E24" i="25"/>
  <c r="H12" i="25"/>
  <c r="D70" i="22"/>
  <c r="L16" i="24"/>
  <c r="C8" i="26"/>
  <c r="D8" i="26"/>
  <c r="E8" i="26"/>
  <c r="F8" i="26"/>
  <c r="C9" i="26"/>
  <c r="D9" i="26"/>
  <c r="E9" i="26"/>
  <c r="F9" i="26"/>
  <c r="C10" i="26"/>
  <c r="D10" i="26"/>
  <c r="E10" i="26"/>
  <c r="F10" i="26"/>
  <c r="C11" i="26"/>
  <c r="H11" i="26" s="1"/>
  <c r="D11" i="26"/>
  <c r="E11" i="26"/>
  <c r="F11" i="26"/>
  <c r="G11" i="26"/>
  <c r="C12" i="26"/>
  <c r="D12" i="26"/>
  <c r="E12" i="26"/>
  <c r="F12" i="26"/>
  <c r="M18" i="22" l="1"/>
  <c r="M20" i="22" s="1"/>
  <c r="J20" i="22"/>
  <c r="K35" i="22"/>
  <c r="J35" i="22"/>
  <c r="L35" i="22"/>
  <c r="L20" i="22"/>
  <c r="I18" i="22"/>
  <c r="I20" i="22" s="1"/>
  <c r="K20" i="22"/>
  <c r="I35" i="22"/>
  <c r="G12" i="26"/>
  <c r="H12" i="26"/>
  <c r="G10" i="26"/>
  <c r="H10" i="26"/>
  <c r="G9" i="26"/>
  <c r="H9" i="26"/>
  <c r="G8" i="26"/>
  <c r="H8" i="26"/>
  <c r="G15" i="26"/>
  <c r="C31" i="26" s="1"/>
  <c r="C33" i="26" s="1"/>
  <c r="C37" i="26" s="1"/>
  <c r="C40" i="26" s="1"/>
  <c r="C41" i="26" s="1"/>
  <c r="H15" i="26"/>
  <c r="D31" i="26" s="1"/>
  <c r="D33" i="26" s="1"/>
  <c r="D37" i="26" l="1"/>
  <c r="D40" i="26"/>
  <c r="D41" i="26" s="1"/>
  <c r="C47" i="26" s="1"/>
  <c r="G14" i="26"/>
  <c r="C46" i="26"/>
  <c r="D46" i="26" s="1"/>
  <c r="H14" i="26"/>
  <c r="F22" i="13"/>
  <c r="L17" i="24" s="1"/>
  <c r="N16" i="24" s="1"/>
  <c r="E27" i="25"/>
  <c r="C13" i="25"/>
  <c r="F27" i="25" s="1"/>
  <c r="F29" i="25"/>
  <c r="D47" i="26" l="1"/>
  <c r="F14" i="27"/>
  <c r="F35" i="25"/>
  <c r="F32" i="25"/>
  <c r="F31" i="25"/>
  <c r="F30" i="25"/>
  <c r="E25" i="25"/>
  <c r="F25" i="25"/>
  <c r="E36" i="25" l="1"/>
  <c r="F36" i="25"/>
  <c r="D17" i="22"/>
  <c r="D35" i="22" s="1"/>
  <c r="E82" i="15"/>
  <c r="C84" i="15"/>
  <c r="C45" i="20"/>
  <c r="B73" i="17"/>
  <c r="B74" i="17" s="1"/>
  <c r="C71" i="17"/>
  <c r="D71" i="17"/>
  <c r="E71" i="17"/>
  <c r="B71" i="17"/>
  <c r="F71" i="17" s="1"/>
  <c r="G71" i="17" s="1"/>
  <c r="H71" i="17" s="1"/>
  <c r="I71" i="17" s="1"/>
  <c r="J71" i="17" s="1"/>
  <c r="K71" i="17" s="1"/>
  <c r="L71" i="17" s="1"/>
  <c r="M71" i="17" s="1"/>
  <c r="N71" i="17" s="1"/>
  <c r="O71" i="17" s="1"/>
  <c r="C70" i="17"/>
  <c r="D70" i="17"/>
  <c r="E70" i="17"/>
  <c r="B70" i="17"/>
  <c r="F70" i="17" s="1"/>
  <c r="G70" i="17" s="1"/>
  <c r="H70" i="17" s="1"/>
  <c r="I70" i="17" s="1"/>
  <c r="J70" i="17" s="1"/>
  <c r="K70" i="17" s="1"/>
  <c r="L70" i="17" s="1"/>
  <c r="M70" i="17" s="1"/>
  <c r="N70" i="17" s="1"/>
  <c r="O70" i="17" s="1"/>
  <c r="C73" i="17"/>
  <c r="C74" i="17" s="1"/>
  <c r="D73" i="17"/>
  <c r="D74" i="17" s="1"/>
  <c r="E73" i="17"/>
  <c r="E74" i="17" s="1"/>
  <c r="C67" i="11"/>
  <c r="F65" i="11"/>
  <c r="G12" i="11"/>
  <c r="H12" i="11" s="1"/>
  <c r="I12" i="11" s="1"/>
  <c r="J12" i="11" s="1"/>
  <c r="K12" i="11" s="1"/>
  <c r="L12" i="11" s="1"/>
  <c r="G13" i="11"/>
  <c r="H13" i="11" s="1"/>
  <c r="I13" i="11" s="1"/>
  <c r="J13" i="11" s="1"/>
  <c r="K13" i="11" s="1"/>
  <c r="L13" i="11" s="1"/>
  <c r="G14" i="11"/>
  <c r="H14" i="11" s="1"/>
  <c r="I14" i="11" s="1"/>
  <c r="J14" i="11" s="1"/>
  <c r="K14" i="11" s="1"/>
  <c r="L14" i="11" s="1"/>
  <c r="G15" i="11"/>
  <c r="H15" i="11" s="1"/>
  <c r="I15" i="11" s="1"/>
  <c r="J15" i="11" s="1"/>
  <c r="K15" i="11" s="1"/>
  <c r="L15" i="11" s="1"/>
  <c r="G16" i="11"/>
  <c r="H16" i="11" s="1"/>
  <c r="I16" i="11" s="1"/>
  <c r="J16" i="11" s="1"/>
  <c r="K16" i="11" s="1"/>
  <c r="L16" i="11" s="1"/>
  <c r="G17" i="11"/>
  <c r="H17" i="11" s="1"/>
  <c r="I17" i="11" s="1"/>
  <c r="J17" i="11" s="1"/>
  <c r="K17" i="11" s="1"/>
  <c r="L17" i="11" s="1"/>
  <c r="G11" i="11"/>
  <c r="H11" i="11" s="1"/>
  <c r="I11" i="11" s="1"/>
  <c r="J11" i="11" s="1"/>
  <c r="K11" i="11" s="1"/>
  <c r="D16" i="20"/>
  <c r="D30" i="20" s="1"/>
  <c r="E16" i="20"/>
  <c r="E30" i="20" s="1"/>
  <c r="F16" i="20"/>
  <c r="F30" i="20" s="1"/>
  <c r="G16" i="20"/>
  <c r="G30" i="20" s="1"/>
  <c r="C16" i="20"/>
  <c r="C30" i="20" s="1"/>
  <c r="O7" i="22" l="1"/>
  <c r="J56" i="22" s="1"/>
  <c r="M13" i="11"/>
  <c r="M17" i="11"/>
  <c r="M15" i="11"/>
  <c r="M14" i="11"/>
  <c r="M16" i="11"/>
  <c r="L11" i="11"/>
  <c r="L18" i="11" s="1"/>
  <c r="L65" i="11" s="1"/>
  <c r="M12" i="11"/>
  <c r="K18" i="11"/>
  <c r="K65" i="11" s="1"/>
  <c r="D18" i="22"/>
  <c r="C38" i="20"/>
  <c r="G38" i="20"/>
  <c r="F38" i="20"/>
  <c r="E38" i="20"/>
  <c r="D38" i="20"/>
  <c r="M56" i="22" l="1"/>
  <c r="D56" i="22"/>
  <c r="G56" i="22"/>
  <c r="K56" i="22"/>
  <c r="E19" i="24"/>
  <c r="I56" i="22"/>
  <c r="H56" i="22"/>
  <c r="F56" i="22"/>
  <c r="E56" i="22"/>
  <c r="L56" i="22"/>
  <c r="N14" i="11"/>
  <c r="N15" i="11"/>
  <c r="N17" i="11"/>
  <c r="N13" i="11"/>
  <c r="N16" i="11"/>
  <c r="M11" i="11"/>
  <c r="M18" i="11" s="1"/>
  <c r="M65" i="11" s="1"/>
  <c r="N12" i="11"/>
  <c r="E17" i="22"/>
  <c r="G17" i="22"/>
  <c r="G35" i="22" s="1"/>
  <c r="F17" i="22"/>
  <c r="F35" i="22" s="1"/>
  <c r="H17" i="22"/>
  <c r="H35" i="22" s="1"/>
  <c r="D59" i="22" l="1"/>
  <c r="O13" i="11"/>
  <c r="O17" i="11"/>
  <c r="O15" i="11"/>
  <c r="O14" i="11"/>
  <c r="O16" i="11"/>
  <c r="N11" i="11"/>
  <c r="O12" i="11"/>
  <c r="E35" i="22"/>
  <c r="E18" i="22"/>
  <c r="E20" i="22" s="1"/>
  <c r="F18" i="22"/>
  <c r="F20" i="22" s="1"/>
  <c r="G18" i="22"/>
  <c r="G20" i="22" s="1"/>
  <c r="H18" i="22"/>
  <c r="H20" i="22" s="1"/>
  <c r="D20" i="22"/>
  <c r="E59" i="22" l="1"/>
  <c r="F59" i="22" s="1"/>
  <c r="G59" i="22" s="1"/>
  <c r="H59" i="22" s="1"/>
  <c r="I59" i="22" s="1"/>
  <c r="J59" i="22" s="1"/>
  <c r="K59" i="22" s="1"/>
  <c r="L59" i="22" s="1"/>
  <c r="M59" i="22" s="1"/>
  <c r="P14" i="11"/>
  <c r="P17" i="11"/>
  <c r="P15" i="11"/>
  <c r="P13" i="11"/>
  <c r="P16" i="11"/>
  <c r="O11" i="11"/>
  <c r="N18" i="11"/>
  <c r="N65" i="11" s="1"/>
  <c r="P12" i="11"/>
  <c r="P11" i="11" l="1"/>
  <c r="P18" i="11" s="1"/>
  <c r="P65" i="11" s="1"/>
  <c r="O18" i="11"/>
  <c r="O65" i="11" s="1"/>
  <c r="H18" i="11" l="1"/>
  <c r="H65" i="11" s="1"/>
  <c r="G18" i="11"/>
  <c r="G65" i="11" s="1"/>
  <c r="J18" i="11" l="1"/>
  <c r="J65" i="11" s="1"/>
  <c r="I18" i="11"/>
  <c r="I65" i="11" s="1"/>
  <c r="F24" i="12" l="1"/>
  <c r="D18" i="19"/>
  <c r="E18" i="19"/>
  <c r="F18" i="19"/>
  <c r="C18" i="19"/>
  <c r="C22" i="19" s="1"/>
  <c r="D14" i="19"/>
  <c r="D22" i="19" s="1"/>
  <c r="E14" i="19"/>
  <c r="E22" i="19" s="1"/>
  <c r="F14" i="19"/>
  <c r="F22" i="19" s="1"/>
  <c r="C14" i="19"/>
  <c r="D9" i="19"/>
  <c r="E9" i="19"/>
  <c r="F9" i="19"/>
  <c r="C9" i="19"/>
  <c r="D8" i="19"/>
  <c r="D10" i="19" s="1"/>
  <c r="E8" i="19"/>
  <c r="E10" i="19" s="1"/>
  <c r="F8" i="19"/>
  <c r="F10" i="19" s="1"/>
  <c r="C8" i="19"/>
  <c r="D30" i="19"/>
  <c r="E30" i="19"/>
  <c r="F30" i="19"/>
  <c r="G30" i="19"/>
  <c r="H30" i="19"/>
  <c r="I30" i="19"/>
  <c r="J30" i="19"/>
  <c r="K30" i="19"/>
  <c r="C30" i="19"/>
  <c r="C40" i="13"/>
  <c r="D40" i="13"/>
  <c r="E40" i="13"/>
  <c r="B40" i="13"/>
  <c r="C82" i="15"/>
  <c r="D82" i="15"/>
  <c r="B82" i="15"/>
  <c r="D24" i="12"/>
  <c r="E24" i="12"/>
  <c r="C24" i="12"/>
  <c r="E84" i="15" l="1"/>
  <c r="E83" i="15"/>
  <c r="C83" i="15"/>
  <c r="D83" i="15"/>
  <c r="D84" i="15"/>
  <c r="C10" i="19"/>
  <c r="D12" i="12" l="1"/>
  <c r="E12" i="12"/>
  <c r="F12" i="12"/>
  <c r="C12" i="12"/>
  <c r="F34" i="11" l="1"/>
  <c r="G34" i="11" s="1"/>
  <c r="F35" i="11"/>
  <c r="G35" i="11" s="1"/>
  <c r="F36" i="11"/>
  <c r="G36" i="11" s="1"/>
  <c r="F37" i="11"/>
  <c r="G37" i="11" s="1"/>
  <c r="F38" i="11"/>
  <c r="G38" i="11" s="1"/>
  <c r="F39" i="11"/>
  <c r="G39" i="11" s="1"/>
  <c r="F33" i="11"/>
  <c r="G33" i="11" s="1"/>
  <c r="F29" i="11"/>
  <c r="F40" i="11" s="1"/>
  <c r="F7" i="11"/>
  <c r="F6" i="11"/>
  <c r="E39" i="11"/>
  <c r="E34" i="11"/>
  <c r="E35" i="11"/>
  <c r="E36" i="11"/>
  <c r="E37" i="11"/>
  <c r="E38" i="11"/>
  <c r="D34" i="11"/>
  <c r="D35" i="11"/>
  <c r="D36" i="11"/>
  <c r="D37" i="11"/>
  <c r="D38" i="11"/>
  <c r="D39" i="11"/>
  <c r="E33" i="11"/>
  <c r="E29" i="11"/>
  <c r="D29" i="11"/>
  <c r="E18" i="11"/>
  <c r="E65" i="11" s="1"/>
  <c r="D18" i="11"/>
  <c r="D65" i="11" s="1"/>
  <c r="D66" i="11" s="1"/>
  <c r="C34" i="11"/>
  <c r="C35" i="11"/>
  <c r="C36" i="11"/>
  <c r="C37" i="11"/>
  <c r="C38" i="11"/>
  <c r="C39" i="11"/>
  <c r="C29" i="11"/>
  <c r="C18" i="11"/>
  <c r="C65" i="11" s="1"/>
  <c r="D6" i="11"/>
  <c r="E6" i="11"/>
  <c r="C6" i="11"/>
  <c r="D7" i="11"/>
  <c r="E7" i="11"/>
  <c r="C7" i="11"/>
  <c r="D40" i="11" l="1"/>
  <c r="H33" i="11"/>
  <c r="G22" i="11"/>
  <c r="C102" i="15"/>
  <c r="C110" i="15"/>
  <c r="C62" i="15"/>
  <c r="C74" i="15"/>
  <c r="C91" i="15"/>
  <c r="C78" i="15"/>
  <c r="C80" i="17"/>
  <c r="C96" i="15"/>
  <c r="C35" i="15"/>
  <c r="D3" i="19"/>
  <c r="D3" i="12"/>
  <c r="H36" i="11"/>
  <c r="G25" i="11"/>
  <c r="C40" i="11"/>
  <c r="H39" i="11"/>
  <c r="G28" i="11"/>
  <c r="D67" i="11"/>
  <c r="E66" i="11"/>
  <c r="B102" i="15"/>
  <c r="B91" i="15"/>
  <c r="B35" i="15"/>
  <c r="B110" i="15"/>
  <c r="B96" i="15"/>
  <c r="B78" i="15"/>
  <c r="B80" i="17"/>
  <c r="B62" i="15"/>
  <c r="B74" i="15"/>
  <c r="C3" i="19"/>
  <c r="C3" i="12"/>
  <c r="C28" i="12" s="1"/>
  <c r="C29" i="12" s="1"/>
  <c r="H38" i="11"/>
  <c r="G27" i="11"/>
  <c r="D110" i="15"/>
  <c r="D78" i="15"/>
  <c r="D74" i="15"/>
  <c r="D96" i="15"/>
  <c r="D62" i="15"/>
  <c r="D91" i="15"/>
  <c r="D35" i="15"/>
  <c r="D80" i="17"/>
  <c r="D102" i="15"/>
  <c r="E3" i="19"/>
  <c r="E3" i="12"/>
  <c r="H37" i="11"/>
  <c r="G26" i="11"/>
  <c r="E40" i="11"/>
  <c r="E102" i="15"/>
  <c r="E91" i="15"/>
  <c r="E35" i="15"/>
  <c r="E110" i="15"/>
  <c r="E78" i="15"/>
  <c r="E74" i="15"/>
  <c r="E96" i="15"/>
  <c r="E80" i="17"/>
  <c r="E62" i="15"/>
  <c r="F3" i="19"/>
  <c r="F3" i="12"/>
  <c r="H35" i="11"/>
  <c r="G24" i="11"/>
  <c r="H34" i="11"/>
  <c r="G23" i="11"/>
  <c r="F102" i="15" l="1"/>
  <c r="G102" i="15" s="1"/>
  <c r="F80" i="17"/>
  <c r="F91" i="15"/>
  <c r="G91" i="15" s="1"/>
  <c r="H91" i="15" s="1"/>
  <c r="I91" i="15" s="1"/>
  <c r="J91" i="15" s="1"/>
  <c r="K91" i="15" s="1"/>
  <c r="L91" i="15" s="1"/>
  <c r="M91" i="15" s="1"/>
  <c r="N91" i="15" s="1"/>
  <c r="O91" i="15" s="1"/>
  <c r="I38" i="11"/>
  <c r="H27" i="11"/>
  <c r="C15" i="19"/>
  <c r="C19" i="19"/>
  <c r="C11" i="19"/>
  <c r="C23" i="19"/>
  <c r="C27" i="19"/>
  <c r="C28" i="19" s="1"/>
  <c r="I36" i="11"/>
  <c r="H25" i="11"/>
  <c r="D21" i="12"/>
  <c r="D28" i="12"/>
  <c r="D29" i="12" s="1"/>
  <c r="D9" i="12"/>
  <c r="D13" i="12"/>
  <c r="D33" i="12"/>
  <c r="D25" i="12"/>
  <c r="D17" i="12"/>
  <c r="D11" i="12"/>
  <c r="D4" i="12"/>
  <c r="I37" i="11"/>
  <c r="H26" i="11"/>
  <c r="F74" i="15"/>
  <c r="E13" i="12"/>
  <c r="E9" i="12"/>
  <c r="E4" i="12"/>
  <c r="E28" i="12"/>
  <c r="E29" i="12" s="1"/>
  <c r="E25" i="12"/>
  <c r="E17" i="12"/>
  <c r="E21" i="12"/>
  <c r="E33" i="12"/>
  <c r="E11" i="12"/>
  <c r="E67" i="11"/>
  <c r="F66" i="11"/>
  <c r="D4" i="19"/>
  <c r="D19" i="19"/>
  <c r="D15" i="19"/>
  <c r="D11" i="19"/>
  <c r="D23" i="19"/>
  <c r="D27" i="19"/>
  <c r="D28" i="19" s="1"/>
  <c r="C33" i="12"/>
  <c r="C11" i="12"/>
  <c r="C17" i="12"/>
  <c r="C21" i="12"/>
  <c r="C13" i="12"/>
  <c r="C25" i="12"/>
  <c r="C9" i="12"/>
  <c r="I34" i="11"/>
  <c r="H23" i="11"/>
  <c r="I35" i="11"/>
  <c r="H24" i="11"/>
  <c r="E19" i="19"/>
  <c r="E4" i="19"/>
  <c r="E23" i="19"/>
  <c r="E27" i="19"/>
  <c r="E28" i="19" s="1"/>
  <c r="E11" i="19"/>
  <c r="E15" i="19"/>
  <c r="F25" i="12"/>
  <c r="F9" i="12"/>
  <c r="G9" i="12" s="1"/>
  <c r="H9" i="12" s="1"/>
  <c r="I9" i="12" s="1"/>
  <c r="F33" i="12"/>
  <c r="G33" i="12" s="1"/>
  <c r="H33" i="12" s="1"/>
  <c r="I33" i="12" s="1"/>
  <c r="J33" i="12" s="1"/>
  <c r="K33" i="12" s="1"/>
  <c r="L33" i="12" s="1"/>
  <c r="M33" i="12" s="1"/>
  <c r="N33" i="12" s="1"/>
  <c r="O33" i="12" s="1"/>
  <c r="P33" i="12" s="1"/>
  <c r="F11" i="12"/>
  <c r="G11" i="12" s="1"/>
  <c r="F28" i="12"/>
  <c r="F29" i="12" s="1"/>
  <c r="F4" i="12"/>
  <c r="F21" i="12"/>
  <c r="F17" i="12"/>
  <c r="G17" i="12" s="1"/>
  <c r="F13" i="12"/>
  <c r="F110" i="15"/>
  <c r="F78" i="15"/>
  <c r="G78" i="15" s="1"/>
  <c r="H78" i="15" s="1"/>
  <c r="I78" i="15" s="1"/>
  <c r="J78" i="15" s="1"/>
  <c r="K78" i="15" s="1"/>
  <c r="L78" i="15" s="1"/>
  <c r="M78" i="15" s="1"/>
  <c r="N78" i="15" s="1"/>
  <c r="O78" i="15" s="1"/>
  <c r="F96" i="15"/>
  <c r="G29" i="11"/>
  <c r="F23" i="19"/>
  <c r="F27" i="19"/>
  <c r="F28" i="19" s="1"/>
  <c r="F4" i="19"/>
  <c r="F11" i="19"/>
  <c r="F19" i="19"/>
  <c r="F15" i="19"/>
  <c r="I39" i="11"/>
  <c r="H28" i="11"/>
  <c r="I33" i="11"/>
  <c r="H22" i="11"/>
  <c r="H11" i="12" l="1"/>
  <c r="I11" i="12" s="1"/>
  <c r="J11" i="12" s="1"/>
  <c r="K11" i="12" s="1"/>
  <c r="L11" i="12" s="1"/>
  <c r="M11" i="12" s="1"/>
  <c r="N11" i="12" s="1"/>
  <c r="O11" i="12" s="1"/>
  <c r="P11" i="12" s="1"/>
  <c r="J9" i="12"/>
  <c r="K9" i="12" s="1"/>
  <c r="L9" i="12" s="1"/>
  <c r="M9" i="12" s="1"/>
  <c r="N9" i="12" s="1"/>
  <c r="O9" i="12" s="1"/>
  <c r="P9" i="12" s="1"/>
  <c r="G21" i="12"/>
  <c r="H21" i="12" s="1"/>
  <c r="I21" i="12" s="1"/>
  <c r="J21" i="12" s="1"/>
  <c r="K21" i="12" s="1"/>
  <c r="L21" i="12" s="1"/>
  <c r="M21" i="12" s="1"/>
  <c r="N21" i="12" s="1"/>
  <c r="O21" i="12" s="1"/>
  <c r="P21" i="12" s="1"/>
  <c r="H17" i="12"/>
  <c r="I17" i="12" s="1"/>
  <c r="J17" i="12" s="1"/>
  <c r="K17" i="12" s="1"/>
  <c r="L17" i="12" s="1"/>
  <c r="M17" i="12" s="1"/>
  <c r="N17" i="12" s="1"/>
  <c r="O17" i="12" s="1"/>
  <c r="P17" i="12" s="1"/>
  <c r="H29" i="11"/>
  <c r="H4" i="11" s="1"/>
  <c r="G74" i="15"/>
  <c r="J37" i="11"/>
  <c r="I26" i="11"/>
  <c r="D36" i="12"/>
  <c r="D37" i="12" s="1"/>
  <c r="J33" i="11"/>
  <c r="I22" i="11"/>
  <c r="J35" i="11"/>
  <c r="I24" i="11"/>
  <c r="E36" i="12"/>
  <c r="E37" i="12" s="1"/>
  <c r="G80" i="17"/>
  <c r="H102" i="15"/>
  <c r="J34" i="11"/>
  <c r="I23" i="11"/>
  <c r="F67" i="11"/>
  <c r="G67" i="11" s="1"/>
  <c r="G66" i="11"/>
  <c r="G110" i="15"/>
  <c r="H40" i="11"/>
  <c r="J39" i="11"/>
  <c r="I28" i="11"/>
  <c r="G40" i="11"/>
  <c r="G4" i="11"/>
  <c r="F36" i="12"/>
  <c r="F37" i="12" s="1"/>
  <c r="G96" i="15"/>
  <c r="C36" i="12"/>
  <c r="C37" i="12" s="1"/>
  <c r="J36" i="11"/>
  <c r="I25" i="11"/>
  <c r="J38" i="11"/>
  <c r="I27" i="11"/>
  <c r="H66" i="11" l="1"/>
  <c r="G5" i="11"/>
  <c r="G7" i="11" s="1"/>
  <c r="D5" i="22" s="1"/>
  <c r="K38" i="11"/>
  <c r="J27" i="11"/>
  <c r="H110" i="15"/>
  <c r="H80" i="17"/>
  <c r="G60" i="11"/>
  <c r="H67" i="11"/>
  <c r="K39" i="11"/>
  <c r="J28" i="11"/>
  <c r="K35" i="11"/>
  <c r="J24" i="11"/>
  <c r="K37" i="11"/>
  <c r="J26" i="11"/>
  <c r="K36" i="11"/>
  <c r="J25" i="11"/>
  <c r="K34" i="11"/>
  <c r="J23" i="11"/>
  <c r="I29" i="11"/>
  <c r="H96" i="15"/>
  <c r="I102" i="15"/>
  <c r="K33" i="11"/>
  <c r="J22" i="11"/>
  <c r="H74" i="15"/>
  <c r="K26" i="11" l="1"/>
  <c r="L37" i="11"/>
  <c r="K24" i="11"/>
  <c r="L35" i="11"/>
  <c r="K23" i="11"/>
  <c r="L34" i="11"/>
  <c r="K28" i="11"/>
  <c r="L39" i="11"/>
  <c r="K27" i="11"/>
  <c r="L38" i="11"/>
  <c r="L33" i="11"/>
  <c r="K22" i="11"/>
  <c r="K25" i="11"/>
  <c r="L36" i="11"/>
  <c r="I80" i="17"/>
  <c r="I67" i="11"/>
  <c r="H60" i="11"/>
  <c r="J102" i="15"/>
  <c r="K102" i="15" s="1"/>
  <c r="L102" i="15" s="1"/>
  <c r="M102" i="15" s="1"/>
  <c r="N102" i="15" s="1"/>
  <c r="O102" i="15" s="1"/>
  <c r="I110" i="15"/>
  <c r="I96" i="15"/>
  <c r="F77" i="15"/>
  <c r="C60" i="20" s="1"/>
  <c r="G3" i="19"/>
  <c r="G3" i="12"/>
  <c r="C7" i="20"/>
  <c r="F90" i="15"/>
  <c r="F101" i="15"/>
  <c r="C55" i="20" s="1"/>
  <c r="F73" i="15"/>
  <c r="F95" i="15"/>
  <c r="C62" i="20" s="1"/>
  <c r="F79" i="17"/>
  <c r="C34" i="20" s="1"/>
  <c r="D11" i="22" s="1"/>
  <c r="D41" i="22" s="1"/>
  <c r="F109" i="15"/>
  <c r="C66" i="20" s="1"/>
  <c r="I40" i="11"/>
  <c r="I4" i="11"/>
  <c r="I74" i="15"/>
  <c r="G6" i="11"/>
  <c r="J29" i="11"/>
  <c r="H5" i="11"/>
  <c r="H7" i="11" s="1"/>
  <c r="E5" i="22" s="1"/>
  <c r="I66" i="11"/>
  <c r="K29" i="11" l="1"/>
  <c r="M39" i="11"/>
  <c r="L28" i="11"/>
  <c r="M36" i="11"/>
  <c r="L25" i="11"/>
  <c r="M34" i="11"/>
  <c r="L23" i="11"/>
  <c r="M35" i="11"/>
  <c r="L24" i="11"/>
  <c r="M33" i="11"/>
  <c r="L22" i="11"/>
  <c r="M38" i="11"/>
  <c r="L27" i="11"/>
  <c r="M37" i="11"/>
  <c r="L26" i="11"/>
  <c r="G10" i="12"/>
  <c r="G12" i="12" s="1"/>
  <c r="G8" i="12"/>
  <c r="G20" i="12"/>
  <c r="G16" i="12"/>
  <c r="C64" i="20"/>
  <c r="C68" i="20" s="1"/>
  <c r="J110" i="15"/>
  <c r="K110" i="15" s="1"/>
  <c r="L110" i="15" s="1"/>
  <c r="M110" i="15" s="1"/>
  <c r="N110" i="15" s="1"/>
  <c r="O110" i="15" s="1"/>
  <c r="D32" i="22"/>
  <c r="J40" i="11"/>
  <c r="J4" i="11"/>
  <c r="G4" i="19"/>
  <c r="G4" i="12"/>
  <c r="G32" i="12"/>
  <c r="C53" i="20"/>
  <c r="C57" i="20" s="1"/>
  <c r="F82" i="15"/>
  <c r="J67" i="11"/>
  <c r="K67" i="11" s="1"/>
  <c r="I60" i="11"/>
  <c r="J66" i="11"/>
  <c r="I5" i="11"/>
  <c r="I7" i="11" s="1"/>
  <c r="F5" i="22" s="1"/>
  <c r="J74" i="15"/>
  <c r="K74" i="15" s="1"/>
  <c r="L74" i="15" s="1"/>
  <c r="M74" i="15" s="1"/>
  <c r="N74" i="15" s="1"/>
  <c r="O74" i="15" s="1"/>
  <c r="J96" i="15"/>
  <c r="K96" i="15" s="1"/>
  <c r="L96" i="15" s="1"/>
  <c r="M96" i="15" s="1"/>
  <c r="N96" i="15" s="1"/>
  <c r="O96" i="15" s="1"/>
  <c r="J80" i="17"/>
  <c r="K80" i="17" s="1"/>
  <c r="L80" i="17" s="1"/>
  <c r="M80" i="17" s="1"/>
  <c r="N80" i="17" s="1"/>
  <c r="O80" i="17" s="1"/>
  <c r="H6" i="11"/>
  <c r="K40" i="11"/>
  <c r="K4" i="11"/>
  <c r="D6" i="22" l="1"/>
  <c r="G24" i="12"/>
  <c r="G13" i="12"/>
  <c r="N35" i="11"/>
  <c r="M24" i="11"/>
  <c r="L29" i="11"/>
  <c r="N37" i="11"/>
  <c r="M26" i="11"/>
  <c r="N34" i="11"/>
  <c r="M23" i="11"/>
  <c r="N38" i="11"/>
  <c r="M27" i="11"/>
  <c r="N36" i="11"/>
  <c r="M25" i="11"/>
  <c r="N33" i="11"/>
  <c r="M22" i="11"/>
  <c r="N39" i="11"/>
  <c r="M28" i="11"/>
  <c r="K60" i="11"/>
  <c r="L67" i="11"/>
  <c r="J60" i="11"/>
  <c r="G9" i="19"/>
  <c r="H90" i="15"/>
  <c r="I3" i="19"/>
  <c r="I3" i="12"/>
  <c r="E7" i="20"/>
  <c r="H77" i="15"/>
  <c r="E60" i="20" s="1"/>
  <c r="H101" i="15"/>
  <c r="E55" i="20" s="1"/>
  <c r="H109" i="15"/>
  <c r="E66" i="20" s="1"/>
  <c r="H79" i="17"/>
  <c r="E34" i="20" s="1"/>
  <c r="F11" i="22" s="1"/>
  <c r="F41" i="22" s="1"/>
  <c r="H95" i="15"/>
  <c r="E62" i="20" s="1"/>
  <c r="H73" i="15"/>
  <c r="C12" i="20"/>
  <c r="G18" i="19"/>
  <c r="D7" i="20"/>
  <c r="G77" i="15"/>
  <c r="D60" i="20" s="1"/>
  <c r="H3" i="19"/>
  <c r="H3" i="12"/>
  <c r="G90" i="15"/>
  <c r="G101" i="15"/>
  <c r="D55" i="20" s="1"/>
  <c r="G73" i="15"/>
  <c r="G95" i="15"/>
  <c r="D62" i="20" s="1"/>
  <c r="G79" i="17"/>
  <c r="D34" i="20" s="1"/>
  <c r="E11" i="22" s="1"/>
  <c r="E41" i="22" s="1"/>
  <c r="G109" i="15"/>
  <c r="D66" i="20" s="1"/>
  <c r="F84" i="15"/>
  <c r="C29" i="20" s="1"/>
  <c r="D12" i="22" s="1"/>
  <c r="D42" i="22" s="1"/>
  <c r="F83" i="15"/>
  <c r="C11" i="20"/>
  <c r="G14" i="19"/>
  <c r="G15" i="19" s="1"/>
  <c r="I6" i="11"/>
  <c r="K66" i="11"/>
  <c r="J5" i="11"/>
  <c r="J7" i="11" s="1"/>
  <c r="G5" i="22" s="1"/>
  <c r="C28" i="20"/>
  <c r="D10" i="22"/>
  <c r="D40" i="22" s="1"/>
  <c r="G28" i="12" l="1"/>
  <c r="G29" i="12" s="1"/>
  <c r="O34" i="11"/>
  <c r="N23" i="11"/>
  <c r="L40" i="11"/>
  <c r="L4" i="11"/>
  <c r="O39" i="11"/>
  <c r="N28" i="11"/>
  <c r="M29" i="11"/>
  <c r="O33" i="11"/>
  <c r="N22" i="11"/>
  <c r="O37" i="11"/>
  <c r="N26" i="11"/>
  <c r="O36" i="11"/>
  <c r="N25" i="11"/>
  <c r="O38" i="11"/>
  <c r="N27" i="11"/>
  <c r="O35" i="11"/>
  <c r="N24" i="11"/>
  <c r="H10" i="12"/>
  <c r="H20" i="12"/>
  <c r="H8" i="12"/>
  <c r="H16" i="12"/>
  <c r="I10" i="12"/>
  <c r="I12" i="12" s="1"/>
  <c r="I20" i="12"/>
  <c r="I8" i="12"/>
  <c r="I16" i="12"/>
  <c r="M67" i="11"/>
  <c r="L60" i="11"/>
  <c r="K5" i="11"/>
  <c r="L66" i="11"/>
  <c r="D64" i="20"/>
  <c r="D68" i="20" s="1"/>
  <c r="I77" i="15"/>
  <c r="F60" i="20" s="1"/>
  <c r="F7" i="20"/>
  <c r="J3" i="12"/>
  <c r="J8" i="12" s="1"/>
  <c r="J3" i="19"/>
  <c r="I90" i="15"/>
  <c r="I101" i="15"/>
  <c r="F55" i="20" s="1"/>
  <c r="I109" i="15"/>
  <c r="F66" i="20" s="1"/>
  <c r="I73" i="15"/>
  <c r="I95" i="15"/>
  <c r="F62" i="20" s="1"/>
  <c r="I79" i="17"/>
  <c r="F34" i="20" s="1"/>
  <c r="G11" i="22" s="1"/>
  <c r="G41" i="22" s="1"/>
  <c r="D53" i="20"/>
  <c r="D57" i="20" s="1"/>
  <c r="G82" i="15"/>
  <c r="G25" i="12"/>
  <c r="F32" i="22"/>
  <c r="G19" i="19"/>
  <c r="G22" i="19"/>
  <c r="H4" i="12"/>
  <c r="H32" i="12"/>
  <c r="J6" i="11"/>
  <c r="E32" i="22"/>
  <c r="E53" i="20"/>
  <c r="E57" i="20" s="1"/>
  <c r="H82" i="15"/>
  <c r="I4" i="12"/>
  <c r="I32" i="12"/>
  <c r="H4" i="19"/>
  <c r="E64" i="20"/>
  <c r="E68" i="20" s="1"/>
  <c r="I4" i="19"/>
  <c r="H12" i="12" l="1"/>
  <c r="F6" i="22"/>
  <c r="K7" i="11"/>
  <c r="H5" i="22" s="1"/>
  <c r="E6" i="22"/>
  <c r="I13" i="12"/>
  <c r="P35" i="11"/>
  <c r="P24" i="11" s="1"/>
  <c r="O24" i="11"/>
  <c r="P33" i="11"/>
  <c r="P22" i="11" s="1"/>
  <c r="O22" i="11"/>
  <c r="M40" i="11"/>
  <c r="M4" i="11"/>
  <c r="P38" i="11"/>
  <c r="P27" i="11" s="1"/>
  <c r="O27" i="11"/>
  <c r="P39" i="11"/>
  <c r="P28" i="11" s="1"/>
  <c r="O28" i="11"/>
  <c r="P36" i="11"/>
  <c r="P25" i="11" s="1"/>
  <c r="O25" i="11"/>
  <c r="P37" i="11"/>
  <c r="P26" i="11" s="1"/>
  <c r="O26" i="11"/>
  <c r="N29" i="11"/>
  <c r="P34" i="11"/>
  <c r="P23" i="11" s="1"/>
  <c r="O23" i="11"/>
  <c r="J20" i="12"/>
  <c r="J10" i="12"/>
  <c r="J16" i="12"/>
  <c r="K6" i="11"/>
  <c r="N67" i="11"/>
  <c r="M60" i="11"/>
  <c r="F64" i="20"/>
  <c r="F68" i="20" s="1"/>
  <c r="M66" i="11"/>
  <c r="L5" i="11"/>
  <c r="L7" i="11" s="1"/>
  <c r="I5" i="22" s="1"/>
  <c r="I9" i="19"/>
  <c r="H9" i="19"/>
  <c r="G23" i="19"/>
  <c r="D28" i="20"/>
  <c r="E10" i="22"/>
  <c r="E40" i="22" s="1"/>
  <c r="H83" i="15"/>
  <c r="H84" i="15"/>
  <c r="E29" i="20" s="1"/>
  <c r="F12" i="22" s="1"/>
  <c r="F42" i="22" s="1"/>
  <c r="J4" i="19"/>
  <c r="F10" i="22"/>
  <c r="F40" i="22" s="1"/>
  <c r="E28" i="20"/>
  <c r="J4" i="12"/>
  <c r="J32" i="12"/>
  <c r="H14" i="19"/>
  <c r="H15" i="19" s="1"/>
  <c r="D11" i="20"/>
  <c r="G32" i="22"/>
  <c r="F53" i="20"/>
  <c r="F57" i="20" s="1"/>
  <c r="I82" i="15"/>
  <c r="I8" i="19"/>
  <c r="I14" i="19"/>
  <c r="I15" i="19" s="1"/>
  <c r="E11" i="20"/>
  <c r="H8" i="19"/>
  <c r="I24" i="12"/>
  <c r="E12" i="20"/>
  <c r="I18" i="19"/>
  <c r="H18" i="19"/>
  <c r="D12" i="20"/>
  <c r="H24" i="12"/>
  <c r="G83" i="15"/>
  <c r="G84" i="15"/>
  <c r="D29" i="20" s="1"/>
  <c r="E12" i="22" s="1"/>
  <c r="E42" i="22" s="1"/>
  <c r="J73" i="15" l="1"/>
  <c r="J90" i="15"/>
  <c r="K3" i="19"/>
  <c r="J77" i="15"/>
  <c r="G60" i="20" s="1"/>
  <c r="G7" i="20"/>
  <c r="K3" i="12"/>
  <c r="K10" i="12" s="1"/>
  <c r="J95" i="15"/>
  <c r="G62" i="20" s="1"/>
  <c r="G64" i="20" s="1"/>
  <c r="G68" i="20" s="1"/>
  <c r="J79" i="17"/>
  <c r="G34" i="20" s="1"/>
  <c r="H11" i="22" s="1"/>
  <c r="H41" i="22" s="1"/>
  <c r="J109" i="15"/>
  <c r="G66" i="20" s="1"/>
  <c r="J12" i="12"/>
  <c r="G6" i="22" s="1"/>
  <c r="J101" i="15"/>
  <c r="G55" i="20" s="1"/>
  <c r="H13" i="12"/>
  <c r="J13" i="12"/>
  <c r="N4" i="11"/>
  <c r="N40" i="11"/>
  <c r="O29" i="11"/>
  <c r="P29" i="11"/>
  <c r="O67" i="11"/>
  <c r="N60" i="11"/>
  <c r="I10" i="19"/>
  <c r="I11" i="19" s="1"/>
  <c r="H10" i="19"/>
  <c r="H11" i="19" s="1"/>
  <c r="L6" i="11"/>
  <c r="L3" i="19"/>
  <c r="M5" i="11"/>
  <c r="M7" i="11" s="1"/>
  <c r="J5" i="22" s="1"/>
  <c r="N66" i="11"/>
  <c r="F28" i="20"/>
  <c r="G10" i="22"/>
  <c r="G40" i="22" s="1"/>
  <c r="G53" i="20"/>
  <c r="H22" i="19"/>
  <c r="H19" i="19"/>
  <c r="I19" i="19"/>
  <c r="I22" i="19"/>
  <c r="J8" i="19"/>
  <c r="J9" i="19"/>
  <c r="E8" i="20"/>
  <c r="E9" i="20" s="1"/>
  <c r="E14" i="20" s="1"/>
  <c r="E17" i="20" s="1"/>
  <c r="J24" i="12"/>
  <c r="F12" i="20"/>
  <c r="J18" i="19"/>
  <c r="H32" i="22"/>
  <c r="D8" i="20"/>
  <c r="D9" i="20" s="1"/>
  <c r="D14" i="20" s="1"/>
  <c r="D17" i="20" s="1"/>
  <c r="F11" i="20"/>
  <c r="J14" i="19"/>
  <c r="J15" i="19" s="1"/>
  <c r="K4" i="19"/>
  <c r="I25" i="12"/>
  <c r="I28" i="12"/>
  <c r="I29" i="12" s="1"/>
  <c r="H25" i="12"/>
  <c r="H28" i="12"/>
  <c r="H29" i="12" s="1"/>
  <c r="I83" i="15"/>
  <c r="I84" i="15"/>
  <c r="F29" i="20" s="1"/>
  <c r="G12" i="22" s="1"/>
  <c r="G42" i="22" s="1"/>
  <c r="E10" i="24" l="1"/>
  <c r="K16" i="12"/>
  <c r="J82" i="15"/>
  <c r="K8" i="12"/>
  <c r="K12" i="12" s="1"/>
  <c r="K4" i="12"/>
  <c r="K20" i="12"/>
  <c r="G12" i="20" s="1"/>
  <c r="K32" i="12"/>
  <c r="G28" i="20" s="1"/>
  <c r="G57" i="20"/>
  <c r="P4" i="11"/>
  <c r="P40" i="11"/>
  <c r="O40" i="11"/>
  <c r="O4" i="11"/>
  <c r="L4" i="19"/>
  <c r="P67" i="11"/>
  <c r="O60" i="11"/>
  <c r="N5" i="11"/>
  <c r="N7" i="11" s="1"/>
  <c r="K5" i="22" s="1"/>
  <c r="O66" i="11"/>
  <c r="M6" i="11"/>
  <c r="M3" i="19"/>
  <c r="K90" i="15"/>
  <c r="K79" i="17"/>
  <c r="H34" i="20" s="1"/>
  <c r="I11" i="22" s="1"/>
  <c r="I41" i="22" s="1"/>
  <c r="K73" i="15"/>
  <c r="K109" i="15"/>
  <c r="H66" i="20" s="1"/>
  <c r="K101" i="15"/>
  <c r="H55" i="20" s="1"/>
  <c r="K95" i="15"/>
  <c r="H62" i="20" s="1"/>
  <c r="L3" i="12"/>
  <c r="H7" i="20"/>
  <c r="K77" i="15"/>
  <c r="H60" i="20" s="1"/>
  <c r="E18" i="20"/>
  <c r="E19" i="20" s="1"/>
  <c r="K9" i="19"/>
  <c r="H36" i="12"/>
  <c r="H37" i="12" s="1"/>
  <c r="K14" i="19"/>
  <c r="K15" i="19" s="1"/>
  <c r="G11" i="20"/>
  <c r="I36" i="12"/>
  <c r="I37" i="12" s="1"/>
  <c r="J22" i="19"/>
  <c r="J19" i="19"/>
  <c r="H23" i="19"/>
  <c r="H27" i="19"/>
  <c r="H28" i="19" s="1"/>
  <c r="J83" i="15"/>
  <c r="J84" i="15"/>
  <c r="G29" i="20" s="1"/>
  <c r="F33" i="22"/>
  <c r="F34" i="22" s="1"/>
  <c r="F36" i="22" s="1"/>
  <c r="F37" i="22" s="1"/>
  <c r="F38" i="22" s="1"/>
  <c r="F43" i="22" s="1"/>
  <c r="F7" i="22"/>
  <c r="F8" i="22" s="1"/>
  <c r="F9" i="22" s="1"/>
  <c r="F13" i="22" s="1"/>
  <c r="F64" i="22" s="1"/>
  <c r="E33" i="22"/>
  <c r="E34" i="22" s="1"/>
  <c r="E36" i="22" s="1"/>
  <c r="E37" i="22" s="1"/>
  <c r="E38" i="22" s="1"/>
  <c r="E43" i="22" s="1"/>
  <c r="E7" i="22"/>
  <c r="E8" i="22" s="1"/>
  <c r="E9" i="22" s="1"/>
  <c r="E13" i="22" s="1"/>
  <c r="E64" i="22" s="1"/>
  <c r="J25" i="12"/>
  <c r="J28" i="12"/>
  <c r="J29" i="12" s="1"/>
  <c r="D18" i="20"/>
  <c r="D19" i="20" s="1"/>
  <c r="F8" i="20"/>
  <c r="F9" i="20" s="1"/>
  <c r="F14" i="20" s="1"/>
  <c r="F17" i="20" s="1"/>
  <c r="F18" i="20" s="1"/>
  <c r="F19" i="20" s="1"/>
  <c r="J10" i="19"/>
  <c r="J11" i="19" s="1"/>
  <c r="K18" i="19"/>
  <c r="K24" i="12"/>
  <c r="I23" i="19"/>
  <c r="I27" i="19"/>
  <c r="I28" i="19" s="1"/>
  <c r="K8" i="19"/>
  <c r="H6" i="22" l="1"/>
  <c r="K13" i="12"/>
  <c r="H10" i="22"/>
  <c r="H40" i="22" s="1"/>
  <c r="E11" i="24"/>
  <c r="E12" i="24" s="1"/>
  <c r="F66" i="22"/>
  <c r="E66" i="22"/>
  <c r="L20" i="12"/>
  <c r="L18" i="19" s="1"/>
  <c r="L10" i="12"/>
  <c r="L8" i="12"/>
  <c r="L8" i="19" s="1"/>
  <c r="L16" i="12"/>
  <c r="L14" i="19" s="1"/>
  <c r="L15" i="19" s="1"/>
  <c r="M4" i="19"/>
  <c r="P60" i="11"/>
  <c r="H64" i="20"/>
  <c r="H68" i="20" s="1"/>
  <c r="H53" i="20"/>
  <c r="H57" i="20" s="1"/>
  <c r="K82" i="15"/>
  <c r="L4" i="12"/>
  <c r="L32" i="12"/>
  <c r="M3" i="12"/>
  <c r="I7" i="20"/>
  <c r="L109" i="15"/>
  <c r="I66" i="20" s="1"/>
  <c r="L77" i="15"/>
  <c r="I60" i="20" s="1"/>
  <c r="L101" i="15"/>
  <c r="I55" i="20" s="1"/>
  <c r="L79" i="17"/>
  <c r="I34" i="20" s="1"/>
  <c r="J11" i="22" s="1"/>
  <c r="J41" i="22" s="1"/>
  <c r="L95" i="15"/>
  <c r="I62" i="20" s="1"/>
  <c r="L73" i="15"/>
  <c r="L90" i="15"/>
  <c r="O5" i="11"/>
  <c r="P66" i="11"/>
  <c r="I32" i="22"/>
  <c r="N6" i="11"/>
  <c r="N3" i="19"/>
  <c r="K10" i="19"/>
  <c r="K11" i="19" s="1"/>
  <c r="G8" i="20"/>
  <c r="G9" i="20" s="1"/>
  <c r="G14" i="20" s="1"/>
  <c r="G17" i="20" s="1"/>
  <c r="G18" i="20" s="1"/>
  <c r="G19" i="20" s="1"/>
  <c r="J36" i="12"/>
  <c r="J37" i="12" s="1"/>
  <c r="G33" i="22"/>
  <c r="G34" i="22" s="1"/>
  <c r="G36" i="22" s="1"/>
  <c r="G37" i="22" s="1"/>
  <c r="G38" i="22" s="1"/>
  <c r="G43" i="22" s="1"/>
  <c r="G7" i="22"/>
  <c r="G8" i="22" s="1"/>
  <c r="G9" i="22" s="1"/>
  <c r="G13" i="22" s="1"/>
  <c r="G64" i="22" s="1"/>
  <c r="J23" i="19"/>
  <c r="J27" i="19"/>
  <c r="J28" i="19" s="1"/>
  <c r="K25" i="12"/>
  <c r="K28" i="12"/>
  <c r="K29" i="12" s="1"/>
  <c r="G69" i="17"/>
  <c r="D39" i="20" s="1"/>
  <c r="D27" i="20"/>
  <c r="K19" i="19"/>
  <c r="K22" i="19"/>
  <c r="E13" i="24"/>
  <c r="H12" i="22"/>
  <c r="H42" i="22" s="1"/>
  <c r="E27" i="20"/>
  <c r="H69" i="17"/>
  <c r="E39" i="20" s="1"/>
  <c r="I69" i="17"/>
  <c r="F39" i="20" s="1"/>
  <c r="F27" i="20"/>
  <c r="G66" i="22" l="1"/>
  <c r="O6" i="11"/>
  <c r="O7" i="11"/>
  <c r="L5" i="22" s="1"/>
  <c r="L12" i="12"/>
  <c r="I6" i="22" s="1"/>
  <c r="N4" i="19"/>
  <c r="M20" i="12"/>
  <c r="M18" i="19" s="1"/>
  <c r="M10" i="12"/>
  <c r="M8" i="12"/>
  <c r="M8" i="19" s="1"/>
  <c r="M16" i="12"/>
  <c r="M14" i="19" s="1"/>
  <c r="M15" i="19" s="1"/>
  <c r="L9" i="19"/>
  <c r="L10" i="19" s="1"/>
  <c r="L11" i="19" s="1"/>
  <c r="L19" i="19"/>
  <c r="L22" i="19"/>
  <c r="I10" i="22"/>
  <c r="I40" i="22" s="1"/>
  <c r="H28" i="20"/>
  <c r="M4" i="12"/>
  <c r="M32" i="12"/>
  <c r="J7" i="20"/>
  <c r="N3" i="12"/>
  <c r="M79" i="17"/>
  <c r="J34" i="20" s="1"/>
  <c r="K11" i="22" s="1"/>
  <c r="K41" i="22" s="1"/>
  <c r="M101" i="15"/>
  <c r="J55" i="20" s="1"/>
  <c r="M90" i="15"/>
  <c r="M73" i="15"/>
  <c r="M109" i="15"/>
  <c r="J66" i="20" s="1"/>
  <c r="M77" i="15"/>
  <c r="J60" i="20" s="1"/>
  <c r="M95" i="15"/>
  <c r="J62" i="20" s="1"/>
  <c r="J32" i="22"/>
  <c r="L82" i="15"/>
  <c r="I53" i="20"/>
  <c r="I57" i="20" s="1"/>
  <c r="I64" i="20"/>
  <c r="I68" i="20" s="1"/>
  <c r="K84" i="15"/>
  <c r="H29" i="20" s="1"/>
  <c r="I12" i="22" s="1"/>
  <c r="I42" i="22" s="1"/>
  <c r="K83" i="15"/>
  <c r="P5" i="11"/>
  <c r="P7" i="11" s="1"/>
  <c r="L24" i="12"/>
  <c r="H12" i="20"/>
  <c r="H11" i="20"/>
  <c r="H68" i="17"/>
  <c r="E31" i="20"/>
  <c r="H33" i="22"/>
  <c r="H34" i="22" s="1"/>
  <c r="H36" i="22" s="1"/>
  <c r="H37" i="22" s="1"/>
  <c r="H38" i="22" s="1"/>
  <c r="H43" i="22" s="1"/>
  <c r="H7" i="22"/>
  <c r="H8" i="22" s="1"/>
  <c r="H9" i="22" s="1"/>
  <c r="K23" i="19"/>
  <c r="K27" i="19"/>
  <c r="K28" i="19" s="1"/>
  <c r="E14" i="24"/>
  <c r="K36" i="12"/>
  <c r="K37" i="12" s="1"/>
  <c r="I68" i="17"/>
  <c r="F31" i="20"/>
  <c r="J69" i="17"/>
  <c r="G39" i="20" s="1"/>
  <c r="G27" i="20"/>
  <c r="D31" i="20"/>
  <c r="G68" i="17"/>
  <c r="M5" i="22" l="1"/>
  <c r="O3" i="19"/>
  <c r="O4" i="19" s="1"/>
  <c r="M12" i="12"/>
  <c r="J6" i="22" s="1"/>
  <c r="L13" i="12"/>
  <c r="M19" i="19"/>
  <c r="M22" i="19"/>
  <c r="N20" i="12"/>
  <c r="N18" i="19" s="1"/>
  <c r="N10" i="12"/>
  <c r="N8" i="12"/>
  <c r="N8" i="19" s="1"/>
  <c r="N16" i="12"/>
  <c r="N14" i="19" s="1"/>
  <c r="N15" i="19" s="1"/>
  <c r="M9" i="19"/>
  <c r="M10" i="19" s="1"/>
  <c r="M11" i="19" s="1"/>
  <c r="M13" i="12"/>
  <c r="L23" i="19"/>
  <c r="L27" i="19"/>
  <c r="L28" i="19" s="1"/>
  <c r="J64" i="20"/>
  <c r="J68" i="20" s="1"/>
  <c r="P6" i="11"/>
  <c r="P3" i="19"/>
  <c r="L84" i="15"/>
  <c r="I29" i="20" s="1"/>
  <c r="J12" i="22" s="1"/>
  <c r="J42" i="22" s="1"/>
  <c r="L83" i="15"/>
  <c r="I12" i="20"/>
  <c r="M24" i="12"/>
  <c r="K32" i="22"/>
  <c r="N4" i="12"/>
  <c r="N32" i="12"/>
  <c r="I11" i="20"/>
  <c r="H8" i="20"/>
  <c r="H9" i="20" s="1"/>
  <c r="H14" i="20" s="1"/>
  <c r="H17" i="20" s="1"/>
  <c r="I28" i="20"/>
  <c r="J10" i="22"/>
  <c r="J40" i="22" s="1"/>
  <c r="L25" i="12"/>
  <c r="L28" i="12"/>
  <c r="L29" i="12" s="1"/>
  <c r="K7" i="20"/>
  <c r="O3" i="12"/>
  <c r="N79" i="17"/>
  <c r="K34" i="20" s="1"/>
  <c r="L11" i="22" s="1"/>
  <c r="L41" i="22" s="1"/>
  <c r="N101" i="15"/>
  <c r="K55" i="20" s="1"/>
  <c r="N95" i="15"/>
  <c r="K62" i="20" s="1"/>
  <c r="N73" i="15"/>
  <c r="N90" i="15"/>
  <c r="N109" i="15"/>
  <c r="K66" i="20" s="1"/>
  <c r="N77" i="15"/>
  <c r="K60" i="20" s="1"/>
  <c r="M82" i="15"/>
  <c r="J53" i="20"/>
  <c r="J57" i="20" s="1"/>
  <c r="J68" i="17"/>
  <c r="G31" i="20"/>
  <c r="E9" i="24"/>
  <c r="E16" i="24" s="1"/>
  <c r="E23" i="24" s="1"/>
  <c r="H16" i="28" s="1"/>
  <c r="H13" i="22"/>
  <c r="H73" i="17"/>
  <c r="H74" i="17" s="1"/>
  <c r="E40" i="20"/>
  <c r="F40" i="20"/>
  <c r="I73" i="17"/>
  <c r="I74" i="17" s="1"/>
  <c r="G73" i="17"/>
  <c r="G74" i="17" s="1"/>
  <c r="D40" i="20"/>
  <c r="N12" i="12" l="1"/>
  <c r="K6" i="22" s="1"/>
  <c r="N9" i="19"/>
  <c r="N10" i="19" s="1"/>
  <c r="N11" i="19" s="1"/>
  <c r="N13" i="12"/>
  <c r="N19" i="19"/>
  <c r="N22" i="19"/>
  <c r="M23" i="19"/>
  <c r="M27" i="19"/>
  <c r="M28" i="19" s="1"/>
  <c r="O10" i="12"/>
  <c r="O20" i="12"/>
  <c r="O18" i="19" s="1"/>
  <c r="O8" i="12"/>
  <c r="O8" i="19" s="1"/>
  <c r="O16" i="12"/>
  <c r="O14" i="19" s="1"/>
  <c r="O15" i="19" s="1"/>
  <c r="P4" i="19"/>
  <c r="L36" i="12"/>
  <c r="L37" i="12" s="1"/>
  <c r="I33" i="22"/>
  <c r="I34" i="22" s="1"/>
  <c r="I36" i="22" s="1"/>
  <c r="I7" i="22"/>
  <c r="M25" i="12"/>
  <c r="M28" i="12"/>
  <c r="M29" i="12" s="1"/>
  <c r="N82" i="15"/>
  <c r="K53" i="20"/>
  <c r="K57" i="20" s="1"/>
  <c r="J12" i="20"/>
  <c r="N24" i="12"/>
  <c r="I8" i="20"/>
  <c r="I9" i="20" s="1"/>
  <c r="I14" i="20" s="1"/>
  <c r="I17" i="20" s="1"/>
  <c r="J11" i="20"/>
  <c r="H18" i="20"/>
  <c r="H19" i="20" s="1"/>
  <c r="K64" i="20"/>
  <c r="K68" i="20" s="1"/>
  <c r="M84" i="15"/>
  <c r="J29" i="20" s="1"/>
  <c r="K12" i="22" s="1"/>
  <c r="K42" i="22" s="1"/>
  <c r="M83" i="15"/>
  <c r="L32" i="22"/>
  <c r="L7" i="20"/>
  <c r="P3" i="12"/>
  <c r="O73" i="15"/>
  <c r="L53" i="20" s="1"/>
  <c r="O79" i="17"/>
  <c r="L34" i="20" s="1"/>
  <c r="M11" i="22" s="1"/>
  <c r="M41" i="22" s="1"/>
  <c r="O101" i="15"/>
  <c r="L55" i="20" s="1"/>
  <c r="O90" i="15"/>
  <c r="O95" i="15"/>
  <c r="L62" i="20" s="1"/>
  <c r="O109" i="15"/>
  <c r="L66" i="20" s="1"/>
  <c r="O77" i="15"/>
  <c r="O4" i="12"/>
  <c r="O32" i="12"/>
  <c r="K10" i="22"/>
  <c r="K40" i="22" s="1"/>
  <c r="J28" i="20"/>
  <c r="D42" i="20"/>
  <c r="D44" i="20" s="1"/>
  <c r="E22" i="22"/>
  <c r="G22" i="22"/>
  <c r="F42" i="20"/>
  <c r="F44" i="20" s="1"/>
  <c r="G23" i="22" s="1"/>
  <c r="G49" i="22" s="1"/>
  <c r="H64" i="22"/>
  <c r="F22" i="22"/>
  <c r="E42" i="20"/>
  <c r="E44" i="20" s="1"/>
  <c r="F23" i="22" s="1"/>
  <c r="F49" i="22" s="1"/>
  <c r="J73" i="17"/>
  <c r="J74" i="17" s="1"/>
  <c r="G40" i="20"/>
  <c r="H66" i="22" l="1"/>
  <c r="O12" i="12"/>
  <c r="L6" i="22" s="1"/>
  <c r="N23" i="19"/>
  <c r="N27" i="19"/>
  <c r="N28" i="19" s="1"/>
  <c r="P10" i="12"/>
  <c r="P20" i="12"/>
  <c r="P18" i="19" s="1"/>
  <c r="P8" i="12"/>
  <c r="P8" i="19" s="1"/>
  <c r="P16" i="12"/>
  <c r="P14" i="19" s="1"/>
  <c r="P15" i="19" s="1"/>
  <c r="O19" i="19"/>
  <c r="O22" i="19"/>
  <c r="O9" i="19"/>
  <c r="O10" i="19" s="1"/>
  <c r="O11" i="19" s="1"/>
  <c r="O13" i="12"/>
  <c r="K28" i="20"/>
  <c r="L10" i="22"/>
  <c r="L40" i="22" s="1"/>
  <c r="H27" i="20"/>
  <c r="K69" i="17"/>
  <c r="H39" i="20" s="1"/>
  <c r="I8" i="22"/>
  <c r="I9" i="22" s="1"/>
  <c r="I13" i="22" s="1"/>
  <c r="N25" i="12"/>
  <c r="N28" i="12"/>
  <c r="N29" i="12" s="1"/>
  <c r="I37" i="22"/>
  <c r="I38" i="22" s="1"/>
  <c r="I43" i="22" s="1"/>
  <c r="L57" i="20"/>
  <c r="K11" i="20"/>
  <c r="N83" i="15"/>
  <c r="N84" i="15"/>
  <c r="K29" i="20" s="1"/>
  <c r="L12" i="22" s="1"/>
  <c r="L42" i="22" s="1"/>
  <c r="J8" i="20"/>
  <c r="J9" i="20" s="1"/>
  <c r="J14" i="20" s="1"/>
  <c r="J17" i="20" s="1"/>
  <c r="O24" i="12"/>
  <c r="K12" i="20"/>
  <c r="M32" i="22"/>
  <c r="J33" i="22"/>
  <c r="J34" i="22" s="1"/>
  <c r="J36" i="22" s="1"/>
  <c r="J7" i="22"/>
  <c r="M36" i="12"/>
  <c r="M37" i="12" s="1"/>
  <c r="O82" i="15"/>
  <c r="L60" i="20"/>
  <c r="L64" i="20" s="1"/>
  <c r="L68" i="20" s="1"/>
  <c r="P4" i="12"/>
  <c r="P32" i="12"/>
  <c r="I18" i="20"/>
  <c r="I19" i="20" s="1"/>
  <c r="F48" i="22"/>
  <c r="F50" i="22" s="1"/>
  <c r="F52" i="22" s="1"/>
  <c r="F24" i="22"/>
  <c r="F25" i="22" s="1"/>
  <c r="F27" i="22" s="1"/>
  <c r="H22" i="22"/>
  <c r="G42" i="20"/>
  <c r="G44" i="20" s="1"/>
  <c r="H23" i="22" s="1"/>
  <c r="H49" i="22" s="1"/>
  <c r="G48" i="22"/>
  <c r="G50" i="22" s="1"/>
  <c r="G52" i="22" s="1"/>
  <c r="G24" i="22"/>
  <c r="G25" i="22" s="1"/>
  <c r="G27" i="22" s="1"/>
  <c r="E48" i="22"/>
  <c r="E23" i="22"/>
  <c r="E49" i="22" s="1"/>
  <c r="P12" i="12" l="1"/>
  <c r="M6" i="22" s="1"/>
  <c r="O23" i="19"/>
  <c r="O27" i="19"/>
  <c r="O28" i="19" s="1"/>
  <c r="P19" i="19"/>
  <c r="P22" i="19"/>
  <c r="P9" i="19"/>
  <c r="P10" i="19" s="1"/>
  <c r="P11" i="19" s="1"/>
  <c r="P13" i="12"/>
  <c r="I27" i="20"/>
  <c r="L69" i="17"/>
  <c r="I39" i="20" s="1"/>
  <c r="I64" i="22"/>
  <c r="K8" i="20"/>
  <c r="K9" i="20" s="1"/>
  <c r="K14" i="20" s="1"/>
  <c r="K17" i="20" s="1"/>
  <c r="L11" i="20"/>
  <c r="O25" i="12"/>
  <c r="O28" i="12"/>
  <c r="O29" i="12" s="1"/>
  <c r="K68" i="17"/>
  <c r="H31" i="20"/>
  <c r="J8" i="22"/>
  <c r="J9" i="22" s="1"/>
  <c r="J13" i="22" s="1"/>
  <c r="J18" i="20"/>
  <c r="J19" i="20" s="1"/>
  <c r="M10" i="22"/>
  <c r="M40" i="22" s="1"/>
  <c r="L28" i="20"/>
  <c r="O84" i="15"/>
  <c r="L29" i="20" s="1"/>
  <c r="M12" i="22" s="1"/>
  <c r="M42" i="22" s="1"/>
  <c r="O83" i="15"/>
  <c r="J37" i="22"/>
  <c r="J38" i="22" s="1"/>
  <c r="J43" i="22" s="1"/>
  <c r="K33" i="22"/>
  <c r="K34" i="22" s="1"/>
  <c r="K36" i="22" s="1"/>
  <c r="K7" i="22"/>
  <c r="N36" i="12"/>
  <c r="N37" i="12" s="1"/>
  <c r="P24" i="12"/>
  <c r="L12" i="20"/>
  <c r="E24" i="22"/>
  <c r="E25" i="22" s="1"/>
  <c r="E27" i="22" s="1"/>
  <c r="E50" i="22"/>
  <c r="E52" i="22" s="1"/>
  <c r="H48" i="22"/>
  <c r="H50" i="22" s="1"/>
  <c r="H52" i="22" s="1"/>
  <c r="H24" i="22"/>
  <c r="H25" i="22" s="1"/>
  <c r="H27" i="22" s="1"/>
  <c r="I66" i="22" l="1"/>
  <c r="P23" i="19"/>
  <c r="P27" i="19"/>
  <c r="P28" i="19" s="1"/>
  <c r="P25" i="12"/>
  <c r="P28" i="12"/>
  <c r="P29" i="12" s="1"/>
  <c r="J64" i="22"/>
  <c r="L33" i="22"/>
  <c r="L34" i="22" s="1"/>
  <c r="L36" i="22" s="1"/>
  <c r="L7" i="22"/>
  <c r="K18" i="20"/>
  <c r="K19" i="20" s="1"/>
  <c r="O36" i="12"/>
  <c r="O37" i="12" s="1"/>
  <c r="K8" i="22"/>
  <c r="K9" i="22" s="1"/>
  <c r="K13" i="22" s="1"/>
  <c r="J27" i="20"/>
  <c r="M69" i="17"/>
  <c r="J39" i="20" s="1"/>
  <c r="K73" i="17"/>
  <c r="K74" i="17" s="1"/>
  <c r="H40" i="20"/>
  <c r="K37" i="22"/>
  <c r="K38" i="22" s="1"/>
  <c r="K43" i="22" s="1"/>
  <c r="L8" i="20"/>
  <c r="L9" i="20" s="1"/>
  <c r="L14" i="20" s="1"/>
  <c r="L17" i="20" s="1"/>
  <c r="I31" i="20"/>
  <c r="L68" i="17"/>
  <c r="J66" i="22" l="1"/>
  <c r="I22" i="22"/>
  <c r="H42" i="20"/>
  <c r="H44" i="20" s="1"/>
  <c r="K27" i="20"/>
  <c r="N69" i="17"/>
  <c r="K39" i="20" s="1"/>
  <c r="K64" i="22"/>
  <c r="L18" i="20"/>
  <c r="L19" i="20" s="1"/>
  <c r="M33" i="22"/>
  <c r="M34" i="22" s="1"/>
  <c r="M36" i="22" s="1"/>
  <c r="M7" i="22"/>
  <c r="J31" i="20"/>
  <c r="M68" i="17"/>
  <c r="P36" i="12"/>
  <c r="P37" i="12" s="1"/>
  <c r="I40" i="20"/>
  <c r="L73" i="17"/>
  <c r="L74" i="17" s="1"/>
  <c r="L8" i="22"/>
  <c r="L9" i="22" s="1"/>
  <c r="L13" i="22" s="1"/>
  <c r="L37" i="22"/>
  <c r="L38" i="22" s="1"/>
  <c r="L43" i="22" s="1"/>
  <c r="K66" i="22" l="1"/>
  <c r="L64" i="22"/>
  <c r="L27" i="20"/>
  <c r="O69" i="17"/>
  <c r="L39" i="20" s="1"/>
  <c r="J22" i="22"/>
  <c r="I42" i="20"/>
  <c r="I44" i="20" s="1"/>
  <c r="J23" i="22" s="1"/>
  <c r="J49" i="22" s="1"/>
  <c r="K31" i="20"/>
  <c r="N68" i="17"/>
  <c r="M73" i="17"/>
  <c r="M74" i="17" s="1"/>
  <c r="J40" i="20"/>
  <c r="M8" i="22"/>
  <c r="M9" i="22" s="1"/>
  <c r="M13" i="22" s="1"/>
  <c r="M37" i="22"/>
  <c r="M38" i="22" s="1"/>
  <c r="M43" i="22" s="1"/>
  <c r="I23" i="22"/>
  <c r="I49" i="22" s="1"/>
  <c r="I48" i="22"/>
  <c r="L66" i="22" l="1"/>
  <c r="M62" i="22"/>
  <c r="M64" i="22" s="1"/>
  <c r="J48" i="22"/>
  <c r="J50" i="22" s="1"/>
  <c r="J52" i="22" s="1"/>
  <c r="J24" i="22"/>
  <c r="J25" i="22" s="1"/>
  <c r="J27" i="22" s="1"/>
  <c r="K22" i="22"/>
  <c r="J42" i="20"/>
  <c r="J44" i="20" s="1"/>
  <c r="K23" i="22" s="1"/>
  <c r="K49" i="22" s="1"/>
  <c r="N73" i="17"/>
  <c r="N74" i="17" s="1"/>
  <c r="K40" i="20"/>
  <c r="L31" i="20"/>
  <c r="O68" i="17"/>
  <c r="I50" i="22"/>
  <c r="I52" i="22" s="1"/>
  <c r="I24" i="22"/>
  <c r="I25" i="22" s="1"/>
  <c r="I27" i="22" s="1"/>
  <c r="M66" i="22" l="1"/>
  <c r="K42" i="20"/>
  <c r="K44" i="20" s="1"/>
  <c r="L23" i="22" s="1"/>
  <c r="L49" i="22" s="1"/>
  <c r="L22" i="22"/>
  <c r="K24" i="22"/>
  <c r="K25" i="22" s="1"/>
  <c r="K27" i="22" s="1"/>
  <c r="K48" i="22"/>
  <c r="K50" i="22" s="1"/>
  <c r="K52" i="22" s="1"/>
  <c r="L40" i="20"/>
  <c r="O73" i="17"/>
  <c r="O74" i="17" s="1"/>
  <c r="M22" i="22" l="1"/>
  <c r="L42" i="20"/>
  <c r="L44" i="20" s="1"/>
  <c r="M23" i="22" s="1"/>
  <c r="M49" i="22" s="1"/>
  <c r="L48" i="22"/>
  <c r="L50" i="22" s="1"/>
  <c r="L52" i="22" s="1"/>
  <c r="L24" i="22"/>
  <c r="L25" i="22" s="1"/>
  <c r="L27" i="22" s="1"/>
  <c r="M48" i="22" l="1"/>
  <c r="M50" i="22" s="1"/>
  <c r="M52" i="22" s="1"/>
  <c r="M24" i="22"/>
  <c r="M25" i="22" s="1"/>
  <c r="M27" i="22" s="1"/>
  <c r="G8" i="19" l="1"/>
  <c r="G10" i="19" s="1"/>
  <c r="D7" i="22"/>
  <c r="C8" i="20" l="1"/>
  <c r="C9" i="20" s="1"/>
  <c r="C14" i="20" s="1"/>
  <c r="C17" i="20" s="1"/>
  <c r="C18" i="20" s="1"/>
  <c r="C19" i="20" s="1"/>
  <c r="G11" i="19"/>
  <c r="G27" i="19"/>
  <c r="G28" i="19" s="1"/>
  <c r="D8" i="22"/>
  <c r="D9" i="22" s="1"/>
  <c r="D13" i="22" s="1"/>
  <c r="D33" i="22"/>
  <c r="D34" i="22" s="1"/>
  <c r="D36" i="22" s="1"/>
  <c r="G36" i="12" l="1"/>
  <c r="G37" i="12" s="1"/>
  <c r="D37" i="22"/>
  <c r="D38" i="22" s="1"/>
  <c r="D43" i="22" s="1"/>
  <c r="D64" i="22"/>
  <c r="D66" i="22" s="1"/>
  <c r="F69" i="17"/>
  <c r="C39" i="20" s="1"/>
  <c r="C27" i="20"/>
  <c r="D69" i="22" l="1"/>
  <c r="F20" i="28" s="1"/>
  <c r="F68" i="17"/>
  <c r="C31" i="20"/>
  <c r="D72" i="22" l="1"/>
  <c r="F73" i="17"/>
  <c r="F74" i="17" s="1"/>
  <c r="C40" i="20"/>
  <c r="D76" i="22" l="1"/>
  <c r="K20" i="28"/>
  <c r="C42" i="20"/>
  <c r="C44" i="20" s="1"/>
  <c r="D22" i="22"/>
  <c r="D11" i="28" l="1"/>
  <c r="H11" i="28"/>
  <c r="H86" i="22"/>
  <c r="L7" i="28"/>
  <c r="F9" i="27"/>
  <c r="H10" i="27" s="1"/>
  <c r="H72" i="22"/>
  <c r="D48" i="22"/>
  <c r="C46" i="20"/>
  <c r="D45" i="20" s="1"/>
  <c r="D46" i="20" s="1"/>
  <c r="E45" i="20" s="1"/>
  <c r="E46" i="20" s="1"/>
  <c r="F45" i="20" s="1"/>
  <c r="F46" i="20" s="1"/>
  <c r="G45" i="20" s="1"/>
  <c r="G46" i="20" s="1"/>
  <c r="H45" i="20" s="1"/>
  <c r="H46" i="20" s="1"/>
  <c r="I45" i="20" s="1"/>
  <c r="I46" i="20" s="1"/>
  <c r="J45" i="20" s="1"/>
  <c r="J46" i="20" s="1"/>
  <c r="K45" i="20" s="1"/>
  <c r="K46" i="20" s="1"/>
  <c r="L45" i="20" s="1"/>
  <c r="L46" i="20" s="1"/>
  <c r="D23" i="22"/>
  <c r="D49" i="22" s="1"/>
  <c r="D24" i="22" l="1"/>
  <c r="D25" i="22" s="1"/>
  <c r="D27" i="22" s="1"/>
  <c r="D50" i="22"/>
  <c r="D52"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Tadeusz Godlewski Jr</author>
  </authors>
  <commentList>
    <comment ref="O4" authorId="0" shapeId="0" xr:uid="{F595F5F4-E501-444C-A483-F48883B015B1}">
      <text>
        <r>
          <rPr>
            <b/>
            <sz val="10"/>
            <color rgb="FF000000"/>
            <rFont val="Tahoma"/>
            <family val="2"/>
          </rPr>
          <t>Tadeusz Godlewski Jr:</t>
        </r>
        <r>
          <rPr>
            <sz val="10"/>
            <color rgb="FF000000"/>
            <rFont val="Tahoma"/>
            <family val="2"/>
          </rPr>
          <t xml:space="preserve">
</t>
        </r>
        <r>
          <rPr>
            <sz val="10"/>
            <color rgb="FF000000"/>
            <rFont val="Tahoma"/>
            <family val="2"/>
          </rPr>
          <t>https://taxsummaries.pwc.com/netherlands/corporate/taxes-on-corporate-income</t>
        </r>
      </text>
    </comment>
    <comment ref="M61" authorId="0" shapeId="0" xr:uid="{80836AEF-8E84-6446-9BA6-C25E49BA7A50}">
      <text>
        <r>
          <rPr>
            <b/>
            <sz val="10"/>
            <color rgb="FF000000"/>
            <rFont val="Tahoma"/>
            <family val="2"/>
          </rPr>
          <t>Tadeusz Godlewski Jr:</t>
        </r>
        <r>
          <rPr>
            <sz val="10"/>
            <color rgb="FF000000"/>
            <rFont val="Tahoma"/>
            <family val="2"/>
          </rPr>
          <t xml:space="preserve">
</t>
        </r>
        <r>
          <rPr>
            <sz val="10"/>
            <color rgb="FF000000"/>
            <rFont val="Tahoma"/>
            <family val="2"/>
          </rPr>
          <t>*data from the g table. had to be not referenced directly due to intereference with sensitivity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Tadeusz Godlewski Jr</author>
    <author>Dmytro Osiichuk</author>
  </authors>
  <commentList>
    <comment ref="E18" authorId="0" shapeId="0" xr:uid="{9FF08F0D-697C-8240-8DD5-01BC71BF253D}">
      <text>
        <r>
          <rPr>
            <b/>
            <sz val="10"/>
            <color rgb="FF000000"/>
            <rFont val="Tahoma"/>
            <family val="2"/>
          </rPr>
          <t>Tadeusz Godlewski Jr:</t>
        </r>
        <r>
          <rPr>
            <sz val="10"/>
            <color rgb="FF000000"/>
            <rFont val="Tahoma"/>
            <family val="2"/>
          </rPr>
          <t xml:space="preserve">
</t>
        </r>
        <r>
          <rPr>
            <sz val="10"/>
            <color rgb="FF000000"/>
            <rFont val="Tahoma"/>
            <family val="2"/>
          </rPr>
          <t>https://www.gurufocus.com/term/roic/ASML</t>
        </r>
      </text>
    </comment>
    <comment ref="E21" authorId="1" shapeId="0" xr:uid="{654F2178-A2A8-4940-B14C-3BB86E24D1B0}">
      <text>
        <r>
          <rPr>
            <sz val="9"/>
            <color rgb="FF000000"/>
            <rFont val="Calibri"/>
            <family val="2"/>
          </rPr>
          <t>A RONIC of 14.0% is used in the terminal period to reflect the expected return on ASML’s future incremental investments. Although ASML’s current ROIC is significantly higher at 26.55%, the terminal-period RONIC is assumed to normalize downward as the company matures, growth slows, and competitive/cyclical pressures reduce the return on new capital. The 14.0% assumption remains above the company’s WACC, implying continued value creation, but is materially below current ROIC to avoid overstating perpetual growth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Tadeusz Godlewski Jr</author>
  </authors>
  <commentList>
    <comment ref="B4" authorId="0" shapeId="0" xr:uid="{758ABDF4-7D51-7B4F-964B-CB0470D8C282}">
      <text>
        <r>
          <rPr>
            <b/>
            <sz val="10"/>
            <color rgb="FF000000"/>
            <rFont val="Tahoma"/>
            <family val="2"/>
          </rPr>
          <t>Tadeusz Godlewski Jr:</t>
        </r>
        <r>
          <rPr>
            <sz val="10"/>
            <color rgb="FF000000"/>
            <rFont val="Tahoma"/>
            <family val="2"/>
          </rPr>
          <t xml:space="preserve">
</t>
        </r>
        <r>
          <rPr>
            <sz val="10"/>
            <color rgb="FF000000"/>
            <rFont val="Tahoma"/>
            <family val="2"/>
          </rPr>
          <t xml:space="preserve">ASML Holding's revenue comes from 2 sources:
</t>
        </r>
        <r>
          <rPr>
            <sz val="10"/>
            <color rgb="FF000000"/>
            <rFont val="Tahoma"/>
            <family val="2"/>
          </rPr>
          <t xml:space="preserve">-Net System Sales 
</t>
        </r>
        <r>
          <rPr>
            <sz val="10"/>
            <color rgb="FF000000"/>
            <rFont val="Tahoma"/>
            <family val="2"/>
          </rPr>
          <t>-Net Service and field option sales</t>
        </r>
      </text>
    </comment>
    <comment ref="B11" authorId="0" shapeId="0" xr:uid="{FF229582-E82F-A448-BF8F-6BC73B25CDB9}">
      <text>
        <r>
          <rPr>
            <b/>
            <sz val="10"/>
            <color rgb="FF000000"/>
            <rFont val="Tahoma"/>
            <family val="2"/>
          </rPr>
          <t>Tadeusz Godlewski Jr:</t>
        </r>
        <r>
          <rPr>
            <sz val="10"/>
            <color rgb="FF000000"/>
            <rFont val="Tahoma"/>
            <family val="2"/>
          </rPr>
          <t xml:space="preserve">
</t>
        </r>
        <r>
          <rPr>
            <sz val="10"/>
            <color rgb="FF000000"/>
            <rFont val="Calibri"/>
            <family val="2"/>
            <scheme val="minor"/>
          </rPr>
          <t xml:space="preserve">ASML’s newest and most advanced EUV platform. EXE systems are expected to support future advanced logic and memory.
</t>
        </r>
      </text>
    </comment>
    <comment ref="B12" authorId="0" shapeId="0" xr:uid="{38249E46-863E-6E43-8FC9-824E39AFC229}">
      <text>
        <r>
          <rPr>
            <b/>
            <sz val="10"/>
            <color rgb="FF000000"/>
            <rFont val="Tahoma"/>
            <family val="2"/>
          </rPr>
          <t>Tadeusz Godlewski Jr:</t>
        </r>
        <r>
          <rPr>
            <sz val="10"/>
            <color rgb="FF000000"/>
            <rFont val="Tahoma"/>
            <family val="2"/>
          </rPr>
          <t xml:space="preserve">
</t>
        </r>
        <r>
          <rPr>
            <sz val="10"/>
            <color rgb="FF000000"/>
            <rFont val="Calibri"/>
            <family val="2"/>
            <scheme val="minor"/>
          </rPr>
          <t>ASML’s current mainstream EUV platform. NXE systems use extreme ultraviolet light and are used for advanced logic and DRAM manufacturing.</t>
        </r>
        <r>
          <rPr>
            <sz val="10"/>
            <color rgb="FF000000"/>
            <rFont val="Calibri"/>
            <family val="2"/>
            <scheme val="minor"/>
          </rPr>
          <t xml:space="preserve"> </t>
        </r>
      </text>
    </comment>
    <comment ref="B13" authorId="0" shapeId="0" xr:uid="{093D88A6-6768-7849-8614-82814C699ECE}">
      <text>
        <r>
          <rPr>
            <b/>
            <sz val="10"/>
            <color rgb="FF000000"/>
            <rFont val="Tahoma"/>
            <family val="2"/>
          </rPr>
          <t>Tadeusz Godlewski Jr:</t>
        </r>
        <r>
          <rPr>
            <sz val="10"/>
            <color rgb="FF000000"/>
            <rFont val="Tahoma"/>
            <family val="2"/>
          </rPr>
          <t xml:space="preserve">
</t>
        </r>
        <r>
          <rPr>
            <sz val="10"/>
            <color rgb="FF000000"/>
            <rFont val="Calibri"/>
            <family val="2"/>
            <scheme val="minor"/>
          </rPr>
          <t>The most advanced DUV system type. It uses immersion technology. Still important for advanced and mature-node production.</t>
        </r>
        <r>
          <rPr>
            <sz val="10"/>
            <color rgb="FF000000"/>
            <rFont val="Calibri"/>
            <family val="2"/>
            <scheme val="minor"/>
          </rPr>
          <t xml:space="preserve"> </t>
        </r>
      </text>
    </comment>
    <comment ref="B14" authorId="0" shapeId="0" xr:uid="{2442F60F-B328-2A49-A821-212204897513}">
      <text>
        <r>
          <rPr>
            <b/>
            <sz val="10"/>
            <color rgb="FF000000"/>
            <rFont val="Tahoma"/>
            <family val="2"/>
          </rPr>
          <t>Tadeusz Godlewski Jr:</t>
        </r>
        <r>
          <rPr>
            <sz val="10"/>
            <color rgb="FF000000"/>
            <rFont val="Tahoma"/>
            <family val="2"/>
          </rPr>
          <t xml:space="preserve">
</t>
        </r>
        <r>
          <rPr>
            <sz val="10"/>
            <color rgb="FF000000"/>
            <rFont val="Calibri"/>
            <family val="2"/>
            <scheme val="minor"/>
          </rPr>
          <t>A mature DUV platform without immersion. Used for less demanding lithography layers than ArF immersion.</t>
        </r>
        <r>
          <rPr>
            <sz val="10"/>
            <color rgb="FF000000"/>
            <rFont val="Calibri"/>
            <family val="2"/>
            <scheme val="minor"/>
          </rPr>
          <t xml:space="preserve"> </t>
        </r>
      </text>
    </comment>
    <comment ref="B15" authorId="0" shapeId="0" xr:uid="{4636B83D-86D5-F546-B952-7C75F0CC65C4}">
      <text>
        <r>
          <rPr>
            <b/>
            <sz val="10"/>
            <color rgb="FF000000"/>
            <rFont val="Tahoma"/>
            <family val="2"/>
          </rPr>
          <t>Tadeusz Godlewski Jr:</t>
        </r>
        <r>
          <rPr>
            <sz val="10"/>
            <color rgb="FF000000"/>
            <rFont val="Tahoma"/>
            <family val="2"/>
          </rPr>
          <t xml:space="preserve">
</t>
        </r>
        <r>
          <rPr>
            <sz val="10"/>
            <color rgb="FF000000"/>
            <rFont val="Calibri"/>
            <family val="2"/>
            <scheme val="minor"/>
          </rPr>
          <t>A more mature DUV platform. Mainly used for mature-node and less advanced chip layers.</t>
        </r>
        <r>
          <rPr>
            <sz val="10"/>
            <color rgb="FF000000"/>
            <rFont val="Calibri"/>
            <family val="2"/>
            <scheme val="minor"/>
          </rPr>
          <t xml:space="preserve"> </t>
        </r>
      </text>
    </comment>
    <comment ref="B16" authorId="0" shapeId="0" xr:uid="{D94EF74E-30DD-7F4B-AE3C-638C2CA57434}">
      <text>
        <r>
          <rPr>
            <sz val="10"/>
            <color rgb="FF000000"/>
            <rFont val="Calibri"/>
            <family val="2"/>
            <scheme val="minor"/>
          </rPr>
          <t>ASML’s oldest lithography category in this model. Used for legacy, specialty, and less advanced applications.</t>
        </r>
        <r>
          <rPr>
            <sz val="10"/>
            <color rgb="FF000000"/>
            <rFont val="Calibri"/>
            <family val="2"/>
            <scheme val="minor"/>
          </rPr>
          <t xml:space="preserve"> </t>
        </r>
      </text>
    </comment>
    <comment ref="B17" authorId="0" shapeId="0" xr:uid="{27EABEE5-3C72-254B-8C12-3F911C649270}">
      <text>
        <r>
          <rPr>
            <b/>
            <sz val="10"/>
            <color rgb="FF000000"/>
            <rFont val="Tahoma"/>
            <family val="2"/>
          </rPr>
          <t>Tadeusz Godlewski Jr:</t>
        </r>
        <r>
          <rPr>
            <sz val="10"/>
            <color rgb="FF000000"/>
            <rFont val="Tahoma"/>
            <family val="2"/>
          </rPr>
          <t xml:space="preserve">
</t>
        </r>
        <r>
          <rPr>
            <sz val="10"/>
            <color rgb="FF000000"/>
            <rFont val="Calibri"/>
            <family val="2"/>
            <scheme val="minor"/>
          </rPr>
          <t>These systems measure patterns, detect defects, and help customers improve yield and process accuracy.</t>
        </r>
        <r>
          <rPr>
            <sz val="10"/>
            <color rgb="FF000000"/>
            <rFont val="Calibri"/>
            <family val="2"/>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Tadeusz Godlewski Jr</author>
    <author>Ob Van</author>
  </authors>
  <commentList>
    <comment ref="N7" authorId="0" shapeId="0" xr:uid="{74495EF7-8AC4-BA45-BC18-7539833669C8}">
      <text>
        <r>
          <rPr>
            <b/>
            <sz val="10"/>
            <color rgb="FF000000"/>
            <rFont val="Tahoma"/>
            <family val="2"/>
          </rPr>
          <t>Tadeusz Godlewski Jr:</t>
        </r>
        <r>
          <rPr>
            <sz val="10"/>
            <color rgb="FF000000"/>
            <rFont val="Tahoma"/>
            <family val="2"/>
          </rPr>
          <t xml:space="preserve">
</t>
        </r>
        <r>
          <rPr>
            <sz val="10"/>
            <color rgb="FF000000"/>
            <rFont val="Tahoma"/>
            <family val="2"/>
          </rPr>
          <t>https://taxsummaries.pwc.com/netherlands/corporate/taxes-on-corporate-income</t>
        </r>
      </text>
    </comment>
    <comment ref="B15" authorId="0" shapeId="0" xr:uid="{3F718127-B407-7C4B-A730-14CA65778049}">
      <text>
        <r>
          <rPr>
            <b/>
            <sz val="10"/>
            <color rgb="FF000000"/>
            <rFont val="Tahoma"/>
            <family val="2"/>
          </rPr>
          <t>Tadeusz Godlewski Jr:</t>
        </r>
        <r>
          <rPr>
            <sz val="10"/>
            <color rgb="FF000000"/>
            <rFont val="Tahoma"/>
            <family val="2"/>
          </rPr>
          <t xml:space="preserve">
</t>
        </r>
        <r>
          <rPr>
            <sz val="10"/>
            <color rgb="FF000000"/>
            <rFont val="Tahoma"/>
            <family val="2"/>
          </rPr>
          <t xml:space="preserve">should not be forecasted in FCFF
</t>
        </r>
      </text>
    </comment>
    <comment ref="B63" authorId="1" shapeId="0" xr:uid="{64E6E303-43CA-9146-9371-C7F93EC14983}">
      <text>
        <r>
          <rPr>
            <sz val="9"/>
            <color rgb="FF000000"/>
            <rFont val="Tahoma"/>
            <family val="2"/>
            <charset val="23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Tadeusz Godlewski Jr</author>
    <author>Autor</author>
  </authors>
  <commentList>
    <comment ref="C8" authorId="0" shapeId="0" xr:uid="{542D0F1E-8DA7-A446-846C-F70BDE5B9EDE}">
      <text>
        <r>
          <rPr>
            <b/>
            <sz val="10"/>
            <color rgb="FF000000"/>
            <rFont val="Tahoma"/>
            <family val="2"/>
          </rPr>
          <t>Tadeusz Godlewski Jr:</t>
        </r>
        <r>
          <rPr>
            <sz val="10"/>
            <color rgb="FF000000"/>
            <rFont val="Tahoma"/>
            <family val="2"/>
          </rPr>
          <t xml:space="preserve">
</t>
        </r>
        <r>
          <rPr>
            <sz val="10"/>
            <color rgb="FF000000"/>
            <rFont val="Tahoma"/>
            <family val="2"/>
          </rPr>
          <t>https://finance.yahoo.com/quote/ASML/key-statistics/</t>
        </r>
      </text>
    </comment>
    <comment ref="C9" authorId="0" shapeId="0" xr:uid="{304E9029-932F-6948-980F-A45B4CB0A691}">
      <text>
        <r>
          <rPr>
            <b/>
            <sz val="10"/>
            <color rgb="FF000000"/>
            <rFont val="Tahoma"/>
            <family val="2"/>
          </rPr>
          <t>Tadeusz Godlewski Jr:</t>
        </r>
        <r>
          <rPr>
            <sz val="10"/>
            <color rgb="FF000000"/>
            <rFont val="Tahoma"/>
            <family val="2"/>
          </rPr>
          <t xml:space="preserve">
</t>
        </r>
        <r>
          <rPr>
            <sz val="10"/>
            <color rgb="FF000000"/>
            <rFont val="Tahoma"/>
            <family val="2"/>
          </rPr>
          <t>https://tradingeconomics.com/netherlands/government-bond-yield
as of May 19th 2026</t>
        </r>
      </text>
    </comment>
    <comment ref="C11" authorId="0" shapeId="0" xr:uid="{0B94E162-B214-2E40-911E-AC52F8BBE580}">
      <text>
        <r>
          <rPr>
            <b/>
            <sz val="10"/>
            <color rgb="FF000000"/>
            <rFont val="Tahoma"/>
            <family val="2"/>
          </rPr>
          <t>Tadeusz Godlewski Jr:</t>
        </r>
        <r>
          <rPr>
            <sz val="10"/>
            <color rgb="FF000000"/>
            <rFont val="Tahoma"/>
            <family val="2"/>
          </rPr>
          <t xml:space="preserve">
</t>
        </r>
        <r>
          <rPr>
            <sz val="10"/>
            <color rgb="FF000000"/>
            <rFont val="Tahoma"/>
            <family val="2"/>
          </rPr>
          <t xml:space="preserve">from damodaran
</t>
        </r>
      </text>
    </comment>
    <comment ref="F28" authorId="0" shapeId="0" xr:uid="{3B01F603-3B30-3444-8982-3C6E81AC300C}">
      <text>
        <r>
          <rPr>
            <b/>
            <sz val="10"/>
            <color rgb="FF000000"/>
            <rFont val="Tahoma"/>
            <family val="2"/>
          </rPr>
          <t>Tadeusz Godlewski Jr:</t>
        </r>
        <r>
          <rPr>
            <sz val="10"/>
            <color rgb="FF000000"/>
            <rFont val="Tahoma"/>
            <family val="2"/>
          </rPr>
          <t xml:space="preserve">
</t>
        </r>
        <r>
          <rPr>
            <sz val="10"/>
            <color rgb="FF000000"/>
            <rFont val="Tahoma"/>
            <family val="2"/>
          </rPr>
          <t>https://finance.yahoo.com/quote/ASML/key-statistics/</t>
        </r>
      </text>
    </comment>
    <comment ref="B32" authorId="1" shapeId="0" xr:uid="{436A9812-F4AD-814F-9376-F122C94043DA}">
      <text>
        <r>
          <rPr>
            <b/>
            <sz val="9"/>
            <color rgb="FF000000"/>
            <rFont val="Tahoma"/>
            <family val="2"/>
            <charset val="238"/>
          </rPr>
          <t>Autor:</t>
        </r>
        <r>
          <rPr>
            <sz val="9"/>
            <color rgb="FF000000"/>
            <rFont val="Tahoma"/>
            <family val="2"/>
            <charset val="238"/>
          </rPr>
          <t xml:space="preserve">
</t>
        </r>
        <r>
          <rPr>
            <sz val="9"/>
            <color rgb="FF000000"/>
            <rFont val="Tahoma"/>
            <family val="2"/>
            <charset val="238"/>
          </rPr>
          <t xml:space="preserve">
</t>
        </r>
        <r>
          <rPr>
            <sz val="9"/>
            <color rgb="FF000000"/>
            <rFont val="Tahoma"/>
            <family val="2"/>
            <charset val="238"/>
          </rPr>
          <t>ICR = EBIT / fin.cost</t>
        </r>
      </text>
    </comment>
    <comment ref="F33" authorId="0" shapeId="0" xr:uid="{A614FAEF-C8E7-5949-BBB2-D7CF08AE798C}">
      <text>
        <r>
          <rPr>
            <b/>
            <sz val="10"/>
            <color rgb="FF000000"/>
            <rFont val="Tahoma"/>
            <family val="2"/>
          </rPr>
          <t>Tadeusz Godlewski Jr:</t>
        </r>
        <r>
          <rPr>
            <sz val="10"/>
            <color rgb="FF000000"/>
            <rFont val="Tahoma"/>
            <family val="2"/>
          </rPr>
          <t xml:space="preserve">
</t>
        </r>
        <r>
          <rPr>
            <sz val="10"/>
            <color rgb="FF000000"/>
            <rFont val="Tahoma"/>
            <family val="2"/>
          </rPr>
          <t xml:space="preserve">from damodaran
</t>
        </r>
      </text>
    </comment>
    <comment ref="F34" authorId="0" shapeId="0" xr:uid="{12BEC47E-8933-6848-AC8C-D95C266932C0}">
      <text>
        <r>
          <rPr>
            <b/>
            <sz val="10"/>
            <color rgb="FF000000"/>
            <rFont val="Tahoma"/>
            <family val="2"/>
          </rPr>
          <t>Tadeusz Godlewski Jr:</t>
        </r>
        <r>
          <rPr>
            <sz val="10"/>
            <color rgb="FF000000"/>
            <rFont val="Tahoma"/>
            <family val="2"/>
          </rPr>
          <t xml:space="preserve">
</t>
        </r>
        <r>
          <rPr>
            <sz val="10"/>
            <color rgb="FF000000"/>
            <rFont val="Tahoma"/>
            <family val="2"/>
          </rPr>
          <t xml:space="preserve">from damodaran
</t>
        </r>
      </text>
    </comment>
  </commentList>
</comments>
</file>

<file path=xl/sharedStrings.xml><?xml version="1.0" encoding="utf-8"?>
<sst xmlns="http://schemas.openxmlformats.org/spreadsheetml/2006/main" count="1047" uniqueCount="433">
  <si>
    <t>Gross Profit</t>
  </si>
  <si>
    <t>EBITDA</t>
  </si>
  <si>
    <t>Net Income</t>
  </si>
  <si>
    <t>Revenue</t>
  </si>
  <si>
    <t>Income Tax Expense</t>
  </si>
  <si>
    <t>Balance Sheet</t>
  </si>
  <si>
    <t>Total Assets</t>
  </si>
  <si>
    <t>Total Liabilities</t>
  </si>
  <si>
    <t>Retained Earnings</t>
  </si>
  <si>
    <t>Capital Expenditure</t>
  </si>
  <si>
    <t>Change in Net Working Capital</t>
  </si>
  <si>
    <t>IFRS</t>
  </si>
  <si>
    <t>Please note: The content of this file is qualified in its entirety by reference to the electronic version of the ASML 2025 Annual Report based on IFRS and therefore: (i) your local (browser and/or mobile device) settings can influence the way this table and its content is being displayed and (ii) (foot)notes have been deleted for reader's convenience.</t>
  </si>
  <si>
    <t>Always refer to the electronic version of the ASML 2025 Annual Report based on IFRS for the full and official financial information.</t>
  </si>
  <si>
    <t>Consolidated Statement of Comprehensive Income for the years ended December 31, 2022, 2023, 2024 and 2025</t>
  </si>
  <si>
    <t>Year ended December 31 (€, in millions)</t>
  </si>
  <si>
    <t>2022</t>
  </si>
  <si>
    <t>2023</t>
  </si>
  <si>
    <t>2024</t>
  </si>
  <si>
    <t>2025</t>
  </si>
  <si>
    <t>Net income</t>
  </si>
  <si>
    <t>Other comprehensive income:</t>
  </si>
  <si>
    <t>Proportionate share of other comprehensive income from associates</t>
  </si>
  <si>
    <t>Foreign currency translation, net of taxes:</t>
  </si>
  <si>
    <t>Gain (loss) on foreign currency translation</t>
  </si>
  <si>
    <t>Financial instruments, net of taxes:</t>
  </si>
  <si>
    <t>Gain (loss) on equity investments</t>
  </si>
  <si>
    <t>Gain (loss) on derivative financial instruments</t>
  </si>
  <si>
    <t>Transfers to net income from derivative financial instruments</t>
  </si>
  <si>
    <t>Other comprehensive income, net of taxes</t>
  </si>
  <si>
    <t>Total comprehensive income, net of taxes</t>
  </si>
  <si>
    <t>Attributable to equity holders</t>
  </si>
  <si>
    <t>Consolidated Statement of Changes in Equity for the years ended December 31, 2022, 2023, 2024 and 2025</t>
  </si>
  <si>
    <r>
      <rPr>
        <b/>
        <sz val="8"/>
        <color rgb="FF000000"/>
        <rFont val="HelveticaNeueLT W1G 55 Roman"/>
      </rPr>
      <t xml:space="preserve">Issued and
</t>
    </r>
    <r>
      <rPr>
        <b/>
        <sz val="8"/>
        <color rgb="FF000000"/>
        <rFont val="HelveticaNeueLT W1G 55 Roman"/>
      </rPr>
      <t>Outstanding Shares</t>
    </r>
  </si>
  <si>
    <t>(€, in millions)</t>
  </si>
  <si>
    <t>Number</t>
  </si>
  <si>
    <t>Share Capital</t>
  </si>
  <si>
    <t>Share Premium</t>
  </si>
  <si>
    <t>Treasury Shares at Cost</t>
  </si>
  <si>
    <t>Other Reserves</t>
  </si>
  <si>
    <t>Total</t>
  </si>
  <si>
    <t>Balance at January 1, 2022</t>
  </si>
  <si>
    <t xml:space="preserve">Prior year net income </t>
  </si>
  <si>
    <t>Components of comprehensive income:</t>
  </si>
  <si>
    <t>Gain (loss) on financial instruments</t>
  </si>
  <si>
    <t>Total comprehensive income</t>
  </si>
  <si>
    <t>Purchase of treasury shares</t>
  </si>
  <si>
    <t>Cancellation of treasury shares</t>
  </si>
  <si>
    <t>Share-based payments</t>
  </si>
  <si>
    <t>Issuance of shares</t>
  </si>
  <si>
    <t>Dividend paid</t>
  </si>
  <si>
    <t>Development expenditures</t>
  </si>
  <si>
    <t>Balance at December 31, 2022</t>
  </si>
  <si>
    <t>Prior year net income</t>
  </si>
  <si>
    <t xml:space="preserve">Gain (loss) on financial instruments </t>
  </si>
  <si>
    <t>Balance at January 1, 2023</t>
  </si>
  <si>
    <t>Balance at December 31, 2023</t>
  </si>
  <si>
    <t>Balance at December 31, 2024</t>
  </si>
  <si>
    <t>Balance at December 31, 2025</t>
  </si>
  <si>
    <t>Assets</t>
  </si>
  <si>
    <t>Consolidated Statement of Cash Flows for the years ended December 31, 2022, 2023, 2024 and 2025</t>
  </si>
  <si>
    <t>Cash flows from operating activities</t>
  </si>
  <si>
    <t>Adjustments to reconcile net income to net cash flows from operating activities:</t>
  </si>
  <si>
    <t>Depreciation and amortization</t>
  </si>
  <si>
    <t>Impairment and loss on disposal</t>
  </si>
  <si>
    <t>Share-based compensation expense</t>
  </si>
  <si>
    <t>Gain on sale of subsidiaries</t>
  </si>
  <si>
    <t>Inventory reserves</t>
  </si>
  <si>
    <t>Deferred tax expense (benefit)</t>
  </si>
  <si>
    <t>Investments in associates</t>
  </si>
  <si>
    <t>Changes in assets and liabilities:</t>
  </si>
  <si>
    <t>Accounts receivable, net</t>
  </si>
  <si>
    <t>Finance receivables, net</t>
  </si>
  <si>
    <t xml:space="preserve">Inventories </t>
  </si>
  <si>
    <t>Other assets</t>
  </si>
  <si>
    <t>Accrued and other liabilities</t>
  </si>
  <si>
    <t>Accounts payable</t>
  </si>
  <si>
    <t>Current tax assets and liabilities</t>
  </si>
  <si>
    <t>Contract assets and liabilities</t>
  </si>
  <si>
    <t>Net cash provided by operating activities</t>
  </si>
  <si>
    <t>Cash flows from investing activities</t>
  </si>
  <si>
    <t>Purchase of property, plant and equipment</t>
  </si>
  <si>
    <t>Purchase of intangible assets</t>
  </si>
  <si>
    <t xml:space="preserve">Purchase of short-term investments </t>
  </si>
  <si>
    <t>Maturity of short-term investments</t>
  </si>
  <si>
    <t>Purchase of equity investments</t>
  </si>
  <si>
    <t>Loans issued and other investments</t>
  </si>
  <si>
    <r>
      <rPr>
        <sz val="8"/>
        <color rgb="FF000000"/>
        <rFont val="Arial"/>
        <family val="2"/>
      </rPr>
      <t>Repayment on loans</t>
    </r>
    <r>
      <rPr>
        <vertAlign val="superscript"/>
        <sz val="8"/>
        <color rgb="FF000000"/>
        <rFont val="Arial"/>
        <family val="2"/>
      </rPr>
      <t>5</t>
    </r>
  </si>
  <si>
    <t>Acquisition of subsidiaries (net of cash acquired)</t>
  </si>
  <si>
    <t>Net cash used in investing activities</t>
  </si>
  <si>
    <t>Cash flows from financing activities</t>
  </si>
  <si>
    <t>Net proceeds from issuance of shares</t>
  </si>
  <si>
    <t>Net proceeds from issuance of borrowings</t>
  </si>
  <si>
    <t>Repayment of debt and lease obligations</t>
  </si>
  <si>
    <t>Net cash used in financing activities</t>
  </si>
  <si>
    <t>Net cash flows</t>
  </si>
  <si>
    <t>Effect of changes in exchange rates on cash</t>
  </si>
  <si>
    <t>Net increase (decrease) in cash and cash equivalents</t>
  </si>
  <si>
    <t>Cash and cash equivalents at beginning of the year</t>
  </si>
  <si>
    <t>Cash and cash equivalents at end of the year</t>
  </si>
  <si>
    <t>Supplemental disclosures of cash flow information</t>
  </si>
  <si>
    <t>Change in unpaid portion of property, plant and equipment, excluded in investing activities, included in accounts payable</t>
  </si>
  <si>
    <t>Interest received</t>
  </si>
  <si>
    <t>Interest paid</t>
  </si>
  <si>
    <t>Income taxes paid, net of refunds</t>
  </si>
  <si>
    <t>2026 E</t>
  </si>
  <si>
    <t>2027 E</t>
  </si>
  <si>
    <t>2028 E</t>
  </si>
  <si>
    <t>2029 E</t>
  </si>
  <si>
    <t>2030 E</t>
  </si>
  <si>
    <t>dividend payout ratio</t>
  </si>
  <si>
    <t>share buyback ratio</t>
  </si>
  <si>
    <t>Dividends Paid / Share Buybacks and Cancellation</t>
  </si>
  <si>
    <t>pay out ratio to net income</t>
  </si>
  <si>
    <t>Purchase of property, plant and equipment (CAPEX)</t>
  </si>
  <si>
    <t>capex ratio to revenue</t>
  </si>
  <si>
    <t>Consolidated Statement of Profit or Loss  for the years ended December 31, 2022, 2023, 2024 and 2025</t>
  </si>
  <si>
    <t>Year ended December 31 (€, in millions, except per share data)</t>
  </si>
  <si>
    <t>Net system sales</t>
  </si>
  <si>
    <t>Net service and field option sales</t>
  </si>
  <si>
    <t>Total net sales</t>
  </si>
  <si>
    <t>Cost of system sales</t>
  </si>
  <si>
    <t>Cost of service and field option sales</t>
  </si>
  <si>
    <t>Total cost of sales</t>
  </si>
  <si>
    <t>Gross profit</t>
  </si>
  <si>
    <t>Research and development costs</t>
  </si>
  <si>
    <t>Selling, general and administrative costs</t>
  </si>
  <si>
    <t>Other income</t>
  </si>
  <si>
    <t>Operating income</t>
  </si>
  <si>
    <t>Finance income</t>
  </si>
  <si>
    <t>Finance costs</t>
  </si>
  <si>
    <t>Income before income taxes</t>
  </si>
  <si>
    <t>Income tax expense</t>
  </si>
  <si>
    <t>Income after income taxes</t>
  </si>
  <si>
    <t>Profit from investments in associates</t>
  </si>
  <si>
    <t>Basic net income per ordinary share</t>
  </si>
  <si>
    <t>Diluted net income per ordinary share</t>
  </si>
  <si>
    <t xml:space="preserve">Number of ordinary shares used in computing per share amounts </t>
  </si>
  <si>
    <t>Basic</t>
  </si>
  <si>
    <t>Diluted</t>
  </si>
  <si>
    <t xml:space="preserve">Net Profit Margin </t>
  </si>
  <si>
    <t>Consolidated Statement of Financial Position for the years ended December 31, 2022, 2023, 2024 and 2025</t>
  </si>
  <si>
    <t>As of December 31 (€, in millions)</t>
  </si>
  <si>
    <t xml:space="preserve">                                                       —</t>
  </si>
  <si>
    <t>Deferred tax assets</t>
  </si>
  <si>
    <t>Loans receivable</t>
  </si>
  <si>
    <t>Derivative financial instruments</t>
  </si>
  <si>
    <t>Equity investments</t>
  </si>
  <si>
    <t>Goodwill</t>
  </si>
  <si>
    <t>Intangible assets, net</t>
  </si>
  <si>
    <t>Property, plant and equipment, net</t>
  </si>
  <si>
    <t>Right-of-use assets</t>
  </si>
  <si>
    <t>Total non-current assets</t>
  </si>
  <si>
    <t>Cash and cash equivalents</t>
  </si>
  <si>
    <t>Short-term investments</t>
  </si>
  <si>
    <t>Current tax assets</t>
  </si>
  <si>
    <t>Contract assets</t>
  </si>
  <si>
    <t>Inventories, net</t>
  </si>
  <si>
    <t>Total current assets</t>
  </si>
  <si>
    <t>Current assets/ revenue</t>
  </si>
  <si>
    <t>Total assets</t>
  </si>
  <si>
    <t>Equity and liabilities</t>
  </si>
  <si>
    <t>Shareholders’ equity</t>
  </si>
  <si>
    <t>Long-term debt</t>
  </si>
  <si>
    <t>Deferred and other income tax liabilities</t>
  </si>
  <si>
    <t>Contract liabilities</t>
  </si>
  <si>
    <t>Total non-current liabilities</t>
  </si>
  <si>
    <t>Current tax liabilities</t>
  </si>
  <si>
    <t>Short-term borrowings and current portion of long-term debt</t>
  </si>
  <si>
    <t>Total current liabilities</t>
  </si>
  <si>
    <t>Current liabilities/ revenue</t>
  </si>
  <si>
    <t>Total equity and liabilities</t>
  </si>
  <si>
    <t>Working Capital</t>
  </si>
  <si>
    <t>Change in Working Capital</t>
  </si>
  <si>
    <t>Working Capital Investment</t>
  </si>
  <si>
    <t>PPE/revenue</t>
  </si>
  <si>
    <t>Total non-current liabilities/revenue</t>
  </si>
  <si>
    <t>Total non-current assets/revenue</t>
  </si>
  <si>
    <t>Shareholders’ equity/revenue</t>
  </si>
  <si>
    <t>Reinvestment Rate</t>
  </si>
  <si>
    <t>NOPAT</t>
  </si>
  <si>
    <t>Capital Expenditure (Capex)</t>
  </si>
  <si>
    <t>Depreciation and Amortisation</t>
  </si>
  <si>
    <t>Net Investment in Non-current Assets</t>
  </si>
  <si>
    <t>Investment in Net Working Capital</t>
  </si>
  <si>
    <t>Total Investment Expenditure</t>
  </si>
  <si>
    <t>Reinvestment rate</t>
  </si>
  <si>
    <t>Invested Capital</t>
  </si>
  <si>
    <t>ROIC</t>
  </si>
  <si>
    <t>WACC</t>
  </si>
  <si>
    <t>RONIC</t>
  </si>
  <si>
    <t>g</t>
  </si>
  <si>
    <t xml:space="preserve">Multiples-Based Valuation: ASML </t>
  </si>
  <si>
    <t>Equity Value (100%)</t>
  </si>
  <si>
    <t xml:space="preserve">EV </t>
  </si>
  <si>
    <t>EBITDA TTM</t>
  </si>
  <si>
    <t>Net Income TTM</t>
  </si>
  <si>
    <t>EV/EBITDA</t>
  </si>
  <si>
    <t>P/E</t>
  </si>
  <si>
    <t>original currency</t>
  </si>
  <si>
    <t>Applied Materials, Inc. (AMAT)</t>
  </si>
  <si>
    <t>USD</t>
  </si>
  <si>
    <t xml:space="preserve">EUR / US dollar </t>
  </si>
  <si>
    <t>Lam Research Corporation (LRCX)</t>
  </si>
  <si>
    <t>EUR / JPY</t>
  </si>
  <si>
    <t>Tokyo Electron Limited (8035.T)</t>
  </si>
  <si>
    <t>JPY</t>
  </si>
  <si>
    <t>KLA Corporation (KLAC)</t>
  </si>
  <si>
    <t>Onto Innovation Inc. (ONTO)</t>
  </si>
  <si>
    <t xml:space="preserve">*not included </t>
  </si>
  <si>
    <t>Mean</t>
  </si>
  <si>
    <t>Median</t>
  </si>
  <si>
    <t>EUR m</t>
  </si>
  <si>
    <t xml:space="preserve">EUR m </t>
  </si>
  <si>
    <t xml:space="preserve">Debt </t>
  </si>
  <si>
    <t>Cash</t>
  </si>
  <si>
    <t>Shares Outstanding (millions)</t>
  </si>
  <si>
    <t>m shares</t>
  </si>
  <si>
    <t>Median Multiple</t>
  </si>
  <si>
    <t>Valuation Base (EUR m)</t>
  </si>
  <si>
    <t>Implied Value (EUR m )</t>
  </si>
  <si>
    <t>Value Type</t>
  </si>
  <si>
    <t>EV</t>
  </si>
  <si>
    <t>Equity</t>
  </si>
  <si>
    <t>Bridge to Equity Value:</t>
  </si>
  <si>
    <t>Implied Value</t>
  </si>
  <si>
    <t>Less: Debt</t>
  </si>
  <si>
    <t>Plus: Cash</t>
  </si>
  <si>
    <t>Equity Value (EUR m )</t>
  </si>
  <si>
    <t>Price per Share (EUR m)</t>
  </si>
  <si>
    <t>Weights</t>
  </si>
  <si>
    <t xml:space="preserve">USD </t>
  </si>
  <si>
    <t>FCFF</t>
  </si>
  <si>
    <t>Forecast Period</t>
  </si>
  <si>
    <t>Dutch Tax</t>
  </si>
  <si>
    <t>Year</t>
  </si>
  <si>
    <t>-</t>
  </si>
  <si>
    <t>Operating Expenses</t>
  </si>
  <si>
    <t>=</t>
  </si>
  <si>
    <t>Operating Profit (EBIT)</t>
  </si>
  <si>
    <t>Income Tax</t>
  </si>
  <si>
    <t>Net Operating Profit After Tax (NOPAT)</t>
  </si>
  <si>
    <t>+</t>
  </si>
  <si>
    <t>FCFF (Free Cash Flow to the Firm)</t>
  </si>
  <si>
    <t>Method: Direct Method, uses method</t>
  </si>
  <si>
    <t>Finance Costs</t>
  </si>
  <si>
    <t>Tax Shield (Finance Costs)</t>
  </si>
  <si>
    <t>Debt Repayments (+) / Debt Drawdowns (–)</t>
  </si>
  <si>
    <t>Cash Flows to Creditors (Adjusted for Tax Shield)</t>
  </si>
  <si>
    <t>Capital Contributions</t>
  </si>
  <si>
    <t>Dividends Paid and Share Buybacks</t>
  </si>
  <si>
    <t>Total Cash Flows for the Year</t>
  </si>
  <si>
    <t>Cash Flows to Equity (FCFE)</t>
  </si>
  <si>
    <t>Check</t>
  </si>
  <si>
    <t>Profit Before Tax</t>
  </si>
  <si>
    <t>Net Profit</t>
  </si>
  <si>
    <t>Debt Repayments (–) / Debt Drawdowns (+)</t>
  </si>
  <si>
    <t>FCFE (Free Cash Flow to Equity)</t>
  </si>
  <si>
    <t>Metoda: uses</t>
  </si>
  <si>
    <t>Dividends Paid</t>
  </si>
  <si>
    <t>Cash Flows to Equity</t>
  </si>
  <si>
    <t>Time until cash flows</t>
  </si>
  <si>
    <t>Discount denominator</t>
  </si>
  <si>
    <t>Residual growth rate (g)</t>
  </si>
  <si>
    <t>Residual value</t>
  </si>
  <si>
    <t>FCFF+RV</t>
  </si>
  <si>
    <t>Discounted FCFF</t>
  </si>
  <si>
    <t>Statement of Profit or Loss</t>
  </si>
  <si>
    <t>Cost of Sales</t>
  </si>
  <si>
    <t>Selling, General and Administrative Expenses</t>
  </si>
  <si>
    <t>R&amp;D</t>
  </si>
  <si>
    <t>Standardised Operating Profit (EBIT)</t>
  </si>
  <si>
    <t>Finance Income</t>
  </si>
  <si>
    <t>Profit for the Year</t>
  </si>
  <si>
    <t>Cash Flow Statement</t>
  </si>
  <si>
    <t>Operating Activities</t>
  </si>
  <si>
    <t>Net Cash from Operating Activities</t>
  </si>
  <si>
    <t>Investing Activities</t>
  </si>
  <si>
    <t>Financing Activities</t>
  </si>
  <si>
    <t>Proceeds from / Repayment of Debt</t>
  </si>
  <si>
    <t>Share Buybacks and Cancellation</t>
  </si>
  <si>
    <t xml:space="preserve">Dividends Paid </t>
  </si>
  <si>
    <t>Capital Contributions (raising new equity)</t>
  </si>
  <si>
    <t>Net Cash from Financing Activities</t>
  </si>
  <si>
    <t>Net Change in Cash and Cash Equivalents</t>
  </si>
  <si>
    <t>Cash and Cash Equivalents at the Beginning of the Year</t>
  </si>
  <si>
    <t>Cash and Cash Equivalents at the End of the Year</t>
  </si>
  <si>
    <t>Current Assets</t>
  </si>
  <si>
    <t>Non-current Assets</t>
  </si>
  <si>
    <t>Current Liabilities</t>
  </si>
  <si>
    <t>Non-current Liabilities</t>
  </si>
  <si>
    <t>Total Equity and Liabilities</t>
  </si>
  <si>
    <t>EUR million</t>
  </si>
  <si>
    <t>Net System Sales</t>
  </si>
  <si>
    <t>Net Service and field option sales</t>
  </si>
  <si>
    <t>Ratio of revenue source</t>
  </si>
  <si>
    <t>Total Net Sales</t>
  </si>
  <si>
    <t>System Sales (units)</t>
  </si>
  <si>
    <t>EXE</t>
  </si>
  <si>
    <t>ArF immersion</t>
  </si>
  <si>
    <t>ArF dry</t>
  </si>
  <si>
    <t>KrF</t>
  </si>
  <si>
    <t>I-line</t>
  </si>
  <si>
    <t>Metrology &amp; Inspection</t>
  </si>
  <si>
    <t>Net System Sales (units)</t>
  </si>
  <si>
    <t>System Sales (Revenue)</t>
  </si>
  <si>
    <t>NXE</t>
  </si>
  <si>
    <t>System Sales (Price per unit)</t>
  </si>
  <si>
    <t>Average Price Per Unit</t>
  </si>
  <si>
    <t>FORECAST ASSUMPTIONS</t>
  </si>
  <si>
    <t xml:space="preserve">  EXE (High-NA EUV)</t>
  </si>
  <si>
    <t xml:space="preserve">  NXE (EUV)</t>
  </si>
  <si>
    <t xml:space="preserve">  ArF immersion</t>
  </si>
  <si>
    <t xml:space="preserve">  ArF dry</t>
  </si>
  <si>
    <t xml:space="preserve">  KrF</t>
  </si>
  <si>
    <t xml:space="preserve">  I-line</t>
  </si>
  <si>
    <t xml:space="preserve">  Metrology &amp; Inspection</t>
  </si>
  <si>
    <t xml:space="preserve">  EXE</t>
  </si>
  <si>
    <t xml:space="preserve">  NXE</t>
  </si>
  <si>
    <t xml:space="preserve">  DUV (ArF imm/dry, KrF, i-line)</t>
  </si>
  <si>
    <t>Service Revenue Driver</t>
  </si>
  <si>
    <t xml:space="preserve">  Revenue per installed unit (EUR m)</t>
  </si>
  <si>
    <t xml:space="preserve">  Growth in rev/installed unit</t>
  </si>
  <si>
    <t>Cumulative units sold (installed base proxy, from 2015)</t>
  </si>
  <si>
    <t xml:space="preserve">  Units sold in year</t>
  </si>
  <si>
    <t xml:space="preserve">  Cumulative installed base</t>
  </si>
  <si>
    <t xml:space="preserve">  Service rev per installed unit (EUR m)</t>
  </si>
  <si>
    <t>YoY Growth</t>
  </si>
  <si>
    <t>Cost of System Sales</t>
  </si>
  <si>
    <t xml:space="preserve">Cost of System Sales / Revenue </t>
  </si>
  <si>
    <t>Cost of Servie &amp; Field Option Sales</t>
  </si>
  <si>
    <t xml:space="preserve">Cost of Servie &amp; Field Option Sales / Revenue </t>
  </si>
  <si>
    <t>Total Cost of Sales</t>
  </si>
  <si>
    <t>Cost of Sales / Revenue (Gross Margin driver)</t>
  </si>
  <si>
    <t>Selling, general and administrative (SG&amp;A) costs</t>
  </si>
  <si>
    <t>SG&amp;A / Revenue</t>
  </si>
  <si>
    <t>R&amp;D Costs</t>
  </si>
  <si>
    <t>R&amp;D/ Revenue</t>
  </si>
  <si>
    <t>Total Operating Expenses</t>
  </si>
  <si>
    <t>Total Operating Expenses/Revenue</t>
  </si>
  <si>
    <t xml:space="preserve">EBIT </t>
  </si>
  <si>
    <t>EBIT margin</t>
  </si>
  <si>
    <t>Depreciation</t>
  </si>
  <si>
    <t>EBITDA margin</t>
  </si>
  <si>
    <t>ASML Holdings</t>
  </si>
  <si>
    <t>Beta</t>
  </si>
  <si>
    <t>rf</t>
  </si>
  <si>
    <t>rm</t>
  </si>
  <si>
    <t>(rm - rf)</t>
  </si>
  <si>
    <t>re (cost of equity)</t>
  </si>
  <si>
    <t>Bu for retailers</t>
  </si>
  <si>
    <r>
      <t xml:space="preserve">Beta = </t>
    </r>
    <r>
      <rPr>
        <b/>
        <sz val="11"/>
        <color rgb="FFFF0000"/>
        <rFont val="Arial"/>
        <family val="2"/>
        <charset val="238"/>
      </rPr>
      <t>Bu</t>
    </r>
    <r>
      <rPr>
        <b/>
        <sz val="11"/>
        <rFont val="Arial"/>
        <family val="2"/>
        <charset val="238"/>
      </rPr>
      <t xml:space="preserve"> x (1+(1-</t>
    </r>
    <r>
      <rPr>
        <b/>
        <sz val="11"/>
        <color rgb="FFFF0000"/>
        <rFont val="Arial"/>
        <family val="2"/>
        <charset val="238"/>
      </rPr>
      <t>T</t>
    </r>
    <r>
      <rPr>
        <b/>
        <sz val="11"/>
        <rFont val="Arial"/>
        <family val="2"/>
        <charset val="238"/>
      </rPr>
      <t>)  x D/E)</t>
    </r>
  </si>
  <si>
    <t>beta</t>
  </si>
  <si>
    <t>risk free rate</t>
  </si>
  <si>
    <t>market risk premium (rm-rf)</t>
  </si>
  <si>
    <t>cost of equity</t>
  </si>
  <si>
    <t xml:space="preserve">capitalization  ( E) </t>
  </si>
  <si>
    <t>IBD (interest-bearing debt, latest balance sheet)</t>
  </si>
  <si>
    <t>E/(E+D)</t>
  </si>
  <si>
    <t>D/(E+D)</t>
  </si>
  <si>
    <t>Interest coverage ratio</t>
  </si>
  <si>
    <t>Default Spread / Credit Risk Spread</t>
  </si>
  <si>
    <t>cost of debt</t>
  </si>
  <si>
    <t>marginal tax rate (CIT in Netherlands)</t>
  </si>
  <si>
    <t>Net Profit Margin</t>
  </si>
  <si>
    <t>Enterprise Value (EV)</t>
  </si>
  <si>
    <t>Interest Bearing Debt</t>
  </si>
  <si>
    <t>Number of Shares outstanding</t>
  </si>
  <si>
    <t>Value per share</t>
  </si>
  <si>
    <t>mln</t>
  </si>
  <si>
    <t xml:space="preserve">mln </t>
  </si>
  <si>
    <t>Depreciation/Revenue</t>
  </si>
  <si>
    <t>Blume adjusted beta</t>
  </si>
  <si>
    <t>blume adjusted beta vs current company beta</t>
  </si>
  <si>
    <t>2031 E</t>
  </si>
  <si>
    <t>2032 E</t>
  </si>
  <si>
    <t>2033 E</t>
  </si>
  <si>
    <t>2034 E</t>
  </si>
  <si>
    <t>2035 E</t>
  </si>
  <si>
    <t>Excess Cash</t>
  </si>
  <si>
    <t>DCF Valuation</t>
  </si>
  <si>
    <t>per share</t>
  </si>
  <si>
    <t>Final Valuation</t>
  </si>
  <si>
    <t>End Year</t>
  </si>
  <si>
    <t>FCFE</t>
  </si>
  <si>
    <t>Historical Period</t>
  </si>
  <si>
    <t>Calculation for Balance Sheet Items Forecasting</t>
  </si>
  <si>
    <t>Calculation for Cash Flow Items Forecasting</t>
  </si>
  <si>
    <t>YoY (%) Price Growth</t>
  </si>
  <si>
    <t>YoY (%) Unit Growth</t>
  </si>
  <si>
    <t>Delta WACC</t>
  </si>
  <si>
    <t>Delta g</t>
  </si>
  <si>
    <t>Change in Growth Rate (g)</t>
  </si>
  <si>
    <t xml:space="preserve">Change in WACC </t>
  </si>
  <si>
    <t>Sensitivity Analysis of Estimated Share Value to Changes in WACC and Growth Rate</t>
  </si>
  <si>
    <t>Delta Revenue</t>
  </si>
  <si>
    <t>Total Cost of Sales Delta</t>
  </si>
  <si>
    <t>Delta Operating Expenses</t>
  </si>
  <si>
    <t>Change in Revenue</t>
  </si>
  <si>
    <t>Change in Operating Expenses</t>
  </si>
  <si>
    <t>Sensitivity Analysis of Estimated Share Value to Changes in Revenue and Operating Expenses</t>
  </si>
  <si>
    <t>Cost Analysis</t>
  </si>
  <si>
    <t xml:space="preserve">In milions </t>
  </si>
  <si>
    <t>Companies</t>
  </si>
  <si>
    <t>Current Market Price: 1,249.80 EUR (as of May 19th 2026)</t>
  </si>
  <si>
    <t xml:space="preserve">EBC exchange rate </t>
  </si>
  <si>
    <t>Result: ASML Holding NV Appears Overvalued</t>
  </si>
  <si>
    <t/>
  </si>
  <si>
    <t>Comparable Companies</t>
  </si>
  <si>
    <t>Target Company Data - ASML</t>
  </si>
  <si>
    <t>Valuation Results</t>
  </si>
  <si>
    <t>Weighted Average Equity Value</t>
  </si>
  <si>
    <t>Weighted Average Price per Share</t>
  </si>
  <si>
    <t>EUR</t>
  </si>
  <si>
    <t>Valuation Methodology:
Although a multiples valuation was conducted as a supporting cross-check, it was not incorporated into the final fair value estimate due to ASML’s limited direct comparability with peers. ASML’s dominant position in EUV lithography, unique market structure, and strategic importance make peer-based multiples less reliable. Therefore, the final valuation is based primarily on the DCF approach</t>
  </si>
  <si>
    <t>ASML HOLDING N.V.</t>
  </si>
  <si>
    <t>Overvalued</t>
  </si>
  <si>
    <t>2026-2035</t>
  </si>
  <si>
    <t>Valuation Date:</t>
  </si>
  <si>
    <t>Market Price:</t>
  </si>
  <si>
    <t>DCF Fair Value:</t>
  </si>
  <si>
    <t>Implied Downside:</t>
  </si>
  <si>
    <t>Premium to Fair Value:</t>
  </si>
  <si>
    <t>Conclusion:</t>
  </si>
  <si>
    <t>WACC:</t>
  </si>
  <si>
    <t>Terminal Growth:</t>
  </si>
  <si>
    <t>Forecast Period:</t>
  </si>
  <si>
    <t>Enterprise Value (Mln):</t>
  </si>
  <si>
    <t>Equity Value (Mln):</t>
  </si>
  <si>
    <t>Multiples Valuation</t>
  </si>
  <si>
    <t>CAGR</t>
  </si>
  <si>
    <t>Prepared By: Tadeusz Godlewski</t>
  </si>
  <si>
    <t>ASML Holding N.V. was valued using a driver-based FCFF DCF model. The model estimates fair value at €724.29 per share, compared with a market price of €1,249.80 as of 19 May 2026, implying 42.05% downside and a 72.56% premium to fair value.
ASML is a high-quality business with a strong competitive position, supported by EUV dominance, AI-related demand, and long-term growth potential. However, the current market price already reflects a significant premium for these strengths. Under the model’s assumptions, ASML appears overvalued with limited margin of safety.
A multiples valuation was used as a supporting cross-check but excluded from the final fair value estimate due to ASML’s limited comparability with listed semiconductor equipment peers.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</si>
</sst>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8">
    <numFmt numFmtId="5" formatCode="&quot;$&quot;#,##0_);\(&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0.0_);\(#,##0.0\)"/>
    <numFmt numFmtId="167" formatCode="0.0"/>
    <numFmt numFmtId="168" formatCode="0.0%"/>
    <numFmt numFmtId="169" formatCode="0.0%;\(0.0%\)"/>
    <numFmt numFmtId="170" formatCode="_(* #,##0.00_);_(* \(#,##0.00\);_(* &quot;-&quot;_);_(@_)"/>
    <numFmt numFmtId="171" formatCode="&quot;$&quot;#,##0.000_);\(&quot;$&quot;#,##0.000\)"/>
    <numFmt numFmtId="172" formatCode="0.00_)"/>
    <numFmt numFmtId="173" formatCode="0.00_);\(0.00\)"/>
    <numFmt numFmtId="174" formatCode=";;;"/>
    <numFmt numFmtId="175" formatCode="&quot;$&quot;_(#,##0.00_);&quot;$&quot;\(#,##0.00\)"/>
    <numFmt numFmtId="176" formatCode="#,##0.0_)\x;\(#,##0.0\)\x"/>
    <numFmt numFmtId="177" formatCode="#,##0.0_)_x;\(#,##0.0\)_x"/>
    <numFmt numFmtId="178" formatCode="0.0_)\%;\(0.0\)\%"/>
    <numFmt numFmtId="179" formatCode="#,##0.0_)_%;\(#,##0.0\)_%"/>
    <numFmt numFmtId="180" formatCode="#,##0;\(#,##0\)"/>
    <numFmt numFmtId="181" formatCode="0\A"/>
    <numFmt numFmtId="182" formatCode="0.00000000000"/>
    <numFmt numFmtId="183" formatCode="0.000000000000"/>
    <numFmt numFmtId="184" formatCode="#,##0_%_);\(#,##0\)_%;#,##0_%_);@_%_)"/>
    <numFmt numFmtId="185" formatCode="0.00_);\(0.00\);0.00"/>
    <numFmt numFmtId="186" formatCode="&quot;$&quot;#,##0_%_);\(&quot;$&quot;#,##0\)_%;&quot;$&quot;#,##0_%_);@_%_)"/>
    <numFmt numFmtId="187" formatCode="&quot;$&quot;#,##0.00_%_);\(&quot;$&quot;#,##0.00\)_%;&quot;$&quot;#,##0.00_%_);@_%_)"/>
    <numFmt numFmtId="188" formatCode="m/d/yy_%_)"/>
    <numFmt numFmtId="189" formatCode="0_%_);\(0\)_%;0_%_);@_%_)"/>
    <numFmt numFmtId="190" formatCode="_([$€-2]* #,##0.00_);_([$€-2]* \(#,##0.00\);_([$€-2]* &quot;-&quot;??_)"/>
    <numFmt numFmtId="191" formatCode="0.0&quot;  &quot;"/>
    <numFmt numFmtId="192" formatCode="_-* #,##0_-;\(#,##0\);_-* &quot;–&quot;_-;_-@_-"/>
    <numFmt numFmtId="193" formatCode="0.00%;\(0.00%\)"/>
    <numFmt numFmtId="194" formatCode="0.0\%_);\(0.0\%\);0.0\%_);@_%_)"/>
    <numFmt numFmtId="195" formatCode="0.0\x_)_);&quot;NM&quot;_x_)_);0.0\x_)_);@_%_)"/>
    <numFmt numFmtId="196" formatCode="#,##0.0\ \ \ ;\(#,##0.0\)\ \ "/>
    <numFmt numFmtId="197" formatCode="0.00\%;\-0.00\%;0.00\%"/>
    <numFmt numFmtId="198" formatCode="0.00\x;\-0.00\x;0.00\x"/>
    <numFmt numFmtId="199" formatCode="##0.00000"/>
    <numFmt numFmtId="200" formatCode="#,##0.000;\(#,##0.000\)"/>
    <numFmt numFmtId="201" formatCode="#,##0.0;\(#,##0.0\)"/>
    <numFmt numFmtId="202" formatCode="#,##0;\(#,##0\);\–;@"/>
    <numFmt numFmtId="203" formatCode="0.000000000"/>
    <numFmt numFmtId="204" formatCode="#,##0.0"/>
    <numFmt numFmtId="205" formatCode="0.0\x"/>
    <numFmt numFmtId="206" formatCode="&quot;$&quot;_(#,##0.00_);&quot;$&quot;\(#,##0.00\);&quot;$&quot;_(0.00_);@_)"/>
    <numFmt numFmtId="207" formatCode="&quot;$&quot;#,##0.0_);\(&quot;$&quot;#,##0.0\)"/>
    <numFmt numFmtId="208" formatCode="0.000000"/>
    <numFmt numFmtId="209" formatCode="#,##0.00_%_);\(#,##0.00\)_%;#,##0.00_%_);@_%_)"/>
    <numFmt numFmtId="210" formatCode="0\x"/>
    <numFmt numFmtId="211" formatCode="0%;\(0%\)"/>
    <numFmt numFmtId="212" formatCode="\+&quot;$&quot;0;\-&quot;$&quot;0"/>
    <numFmt numFmtId="213" formatCode="\+0;\-0"/>
    <numFmt numFmtId="214" formatCode="\+0.0%;\-0.0%"/>
    <numFmt numFmtId="215" formatCode="0_);\(0\)"/>
    <numFmt numFmtId="216" formatCode="_-* #,##0.00\ _€_-;\-* #,##0.00\ _€_-;_-* &quot;-&quot;??\ _€_-;_-@_-"/>
    <numFmt numFmtId="217" formatCode="_(* #,##0_);_(* \(#,##0\);_(* &quot;-&quot;??_);_(@_)"/>
    <numFmt numFmtId="218" formatCode="&quot;$&quot;#,##0.0;\(&quot;$&quot;#,##0.0\)"/>
    <numFmt numFmtId="219" formatCode="\£\ #,##0_);[Red]\(\£\ #,##0\)"/>
    <numFmt numFmtId="220" formatCode="\¥\ #,##0_);[Red]\(\¥\ #,##0\)"/>
    <numFmt numFmtId="221" formatCode="General_)"/>
    <numFmt numFmtId="222" formatCode="_(* #,##0.0_);_(* \(#,##0.0\);_(* &quot;--- &quot;_)"/>
    <numFmt numFmtId="223" formatCode="m/yy"/>
    <numFmt numFmtId="224" formatCode="\•\ \ @"/>
    <numFmt numFmtId="225" formatCode="_(* #,##0.00000_);_(* \(#,##0.00000\);_(* &quot;-&quot;??_);_(@_)"/>
    <numFmt numFmtId="226" formatCode="0.000_)"/>
    <numFmt numFmtId="227" formatCode="&quot;$&quot;#,##0;[Red]&quot;$&quot;#,##0"/>
    <numFmt numFmtId="228" formatCode="0.0000%"/>
    <numFmt numFmtId="229" formatCode="&quot;$&quot;#,##0\ ;\(&quot;$&quot;#,##0\)"/>
    <numFmt numFmtId="230" formatCode="&quot;£&quot;#,##0.00;[Red]\-&quot;£&quot;#,##0.00"/>
    <numFmt numFmtId="231" formatCode="\ \ _•\–\ \ \ \ @"/>
    <numFmt numFmtId="232" formatCode="m/d/yy&quot; E&quot;"/>
    <numFmt numFmtId="233" formatCode="#,##0.0;\(###0.0\)"/>
    <numFmt numFmtId="234" formatCode="\$0.00;\(\$0.00\)"/>
    <numFmt numFmtId="235" formatCode="_(&quot;$&quot;* #,##0_);_(&quot;$&quot;* \(#,##0\);_(&quot;$&quot;* &quot;-&quot;??_);_(@_)"/>
    <numFmt numFmtId="236" formatCode="mmm\-yyyy"/>
    <numFmt numFmtId="237" formatCode="0.0\x;&quot;NM &quot;"/>
    <numFmt numFmtId="238" formatCode="_-* #,##0.00_-;[Red]\ \(#,##0.00\);_-* &quot;-&quot;??_-;_-@_-"/>
    <numFmt numFmtId="239" formatCode="_(* #,##0.0_);_(* \(#,##0.0\);_(* &quot;-&quot;?_);_(@_)"/>
    <numFmt numFmtId="240" formatCode="#,##0.0\x;\(#,##0.0\)\x"/>
    <numFmt numFmtId="241" formatCode="_(&quot;$&quot;* #,##0.0_);_(&quot;$&quot;* \(#,##0.0\);_(&quot;$&quot;* &quot;-&quot;??_);_(@_)"/>
    <numFmt numFmtId="242" formatCode="_(* #,##0.0000_);_(* \(#,##0.0000\);_(* &quot;-&quot;??_);_(@_)"/>
    <numFmt numFmtId="243" formatCode="#,##0_);\(#,##0\);0_)"/>
    <numFmt numFmtId="244" formatCode="0.00000000000000000%"/>
    <numFmt numFmtId="245" formatCode="_(* #,##0.0_);_(* \(#,##0.0\);_(* &quot;-&quot;??_);_(@_)"/>
    <numFmt numFmtId="246" formatCode="* #,##0.0;* \(#,##0.0\);* &quot;—&quot;;_(@_)"/>
    <numFmt numFmtId="247" formatCode="* #,##0.00;* \(#,##0.00\);* &quot;—&quot;;_(@_)"/>
    <numFmt numFmtId="248" formatCode="#0;&quot;-&quot;#0;&quot;—&quot;;_(@_)"/>
    <numFmt numFmtId="249" formatCode="#0;\(#0\);&quot;—&quot;;_(@_)"/>
    <numFmt numFmtId="250" formatCode="0.000"/>
    <numFmt numFmtId="251" formatCode="_([$€-2]\ * #,##0.00_);_([$€-2]\ * \(#,##0.00\);_([$€-2]\ * &quot;-&quot;??_);_(@_)"/>
    <numFmt numFmtId="252" formatCode="0.000%"/>
    <numFmt numFmtId="253" formatCode="0.00\x"/>
    <numFmt numFmtId="254" formatCode="_-* #,##0\ &quot;zł&quot;_-;\-* #,##0\ &quot;zł&quot;_-;_-* &quot;-&quot;\ &quot;zł&quot;_-;_-@_-"/>
    <numFmt numFmtId="255" formatCode="_-[$$-409]* #,##0_ ;_-[$$-409]* \-#,##0\ ;_-[$$-409]* &quot;-&quot;_ ;_-@_ "/>
  </numFmts>
  <fonts count="268">
    <font>
      <sz val="11"/>
      <color theme="1"/>
      <name val="Calibri"/>
      <family val="2"/>
      <charset val="238"/>
      <scheme val="minor"/>
    </font>
    <font>
      <sz val="12"/>
      <color theme="1"/>
      <name val="Calibri"/>
      <family val="2"/>
      <scheme val="minor"/>
    </font>
    <font>
      <sz val="12"/>
      <color theme="1"/>
      <name val="Calibri"/>
      <family val="2"/>
      <scheme val="minor"/>
    </font>
    <font>
      <sz val="10"/>
      <name val="Arial"/>
      <family val="2"/>
    </font>
    <font>
      <sz val="11"/>
      <color theme="1"/>
      <name val="Calibri"/>
      <family val="2"/>
      <scheme val="minor"/>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family val="1"/>
      <charset val="2"/>
    </font>
    <font>
      <sz val="10"/>
      <color indexed="8"/>
      <name val="Arial"/>
      <family val="2"/>
    </font>
    <font>
      <b/>
      <sz val="8"/>
      <name val="Arial"/>
      <family val="2"/>
    </font>
    <font>
      <sz val="10"/>
      <name val="Arial"/>
      <family val="2"/>
    </font>
    <font>
      <sz val="8"/>
      <color indexed="9"/>
      <name val="Arial"/>
      <family val="2"/>
    </font>
    <font>
      <b/>
      <sz val="10"/>
      <name val="Arial"/>
      <family val="2"/>
    </font>
    <font>
      <sz val="11"/>
      <color indexed="8"/>
      <name val="Calibri"/>
      <family val="2"/>
    </font>
    <font>
      <u/>
      <sz val="10"/>
      <color indexed="12"/>
      <name val="Arial"/>
      <family val="2"/>
    </font>
    <font>
      <b/>
      <sz val="11"/>
      <name val="Times New Roman"/>
      <family val="1"/>
    </font>
    <font>
      <sz val="10"/>
      <name val="Times New Roman"/>
      <family val="1"/>
    </font>
    <font>
      <sz val="9"/>
      <name val="Times New Roman"/>
      <family val="1"/>
    </font>
    <font>
      <b/>
      <sz val="10"/>
      <name val="Times New Roman"/>
      <family val="1"/>
    </font>
    <font>
      <b/>
      <sz val="9"/>
      <name val="Times New Roman"/>
      <family val="1"/>
    </font>
    <font>
      <b/>
      <sz val="10"/>
      <color indexed="8"/>
      <name val="Times New Roman"/>
      <family val="1"/>
    </font>
    <font>
      <sz val="12"/>
      <name val="Times New Roman"/>
      <family val="1"/>
    </font>
    <font>
      <b/>
      <i/>
      <sz val="16"/>
      <name val="Helv"/>
    </font>
    <font>
      <sz val="11"/>
      <color indexed="9"/>
      <name val="Calibri"/>
      <family val="2"/>
    </font>
    <font>
      <b/>
      <sz val="18"/>
      <color indexed="62"/>
      <name val="Cambria"/>
      <family val="2"/>
    </font>
    <font>
      <sz val="10"/>
      <name val="Courier"/>
      <family val="3"/>
    </font>
    <font>
      <sz val="2"/>
      <color indexed="9"/>
      <name val="Symbol"/>
      <family val="1"/>
      <charset val="2"/>
    </font>
    <font>
      <b/>
      <sz val="14"/>
      <name val="Times New Roman"/>
      <family val="1"/>
    </font>
    <font>
      <sz val="10"/>
      <color indexed="8"/>
      <name val="MS Sans Serif"/>
      <family val="2"/>
    </font>
    <font>
      <sz val="9"/>
      <color indexed="8"/>
      <name val="Times New Roman"/>
      <family val="1"/>
    </font>
    <font>
      <b/>
      <sz val="11"/>
      <color indexed="52"/>
      <name val="Calibri"/>
      <family val="2"/>
    </font>
    <font>
      <b/>
      <sz val="11"/>
      <color indexed="9"/>
      <name val="Calibri"/>
      <family val="2"/>
    </font>
    <font>
      <sz val="8"/>
      <name val="Palatino"/>
      <family val="1"/>
    </font>
    <font>
      <sz val="24"/>
      <name val="Arial"/>
      <family val="2"/>
    </font>
    <font>
      <b/>
      <sz val="24"/>
      <name val="Times New Roman"/>
      <family val="1"/>
    </font>
    <font>
      <sz val="7"/>
      <name val="Palatino"/>
      <family val="1"/>
    </font>
    <font>
      <b/>
      <sz val="8.5"/>
      <color indexed="17"/>
      <name val="Arial"/>
      <family val="2"/>
    </font>
    <font>
      <sz val="7"/>
      <name val="Arial"/>
      <family val="2"/>
    </font>
    <font>
      <b/>
      <sz val="7"/>
      <color indexed="17"/>
      <name val="Arial"/>
      <family val="2"/>
    </font>
    <font>
      <sz val="8.5"/>
      <color indexed="8"/>
      <name val="Arial"/>
      <family val="2"/>
    </font>
    <font>
      <sz val="6"/>
      <color indexed="16"/>
      <name val="Palatino"/>
      <family val="1"/>
    </font>
    <font>
      <b/>
      <sz val="15"/>
      <color indexed="56"/>
      <name val="Calibri"/>
      <family val="2"/>
    </font>
    <font>
      <sz val="18"/>
      <name val="Helvetica-Black"/>
    </font>
    <font>
      <i/>
      <sz val="14"/>
      <name val="Palatino"/>
      <family val="1"/>
    </font>
    <font>
      <b/>
      <sz val="11"/>
      <color indexed="56"/>
      <name val="Calibri"/>
      <family val="2"/>
    </font>
    <font>
      <b/>
      <sz val="12"/>
      <name val="Arial"/>
      <family val="2"/>
    </font>
    <font>
      <sz val="9"/>
      <color indexed="12"/>
      <name val="Times New Roman"/>
      <family val="1"/>
    </font>
    <font>
      <sz val="10"/>
      <name val="MS Sans Serif"/>
      <family val="2"/>
    </font>
    <font>
      <b/>
      <sz val="14"/>
      <name val="Arial"/>
      <family val="2"/>
    </font>
    <font>
      <i/>
      <sz val="10"/>
      <name val="Helv"/>
    </font>
    <font>
      <sz val="8"/>
      <name val="Helv"/>
    </font>
    <font>
      <b/>
      <sz val="11"/>
      <color indexed="63"/>
      <name val="Calibri"/>
      <family val="2"/>
    </font>
    <font>
      <sz val="10"/>
      <color indexed="16"/>
      <name val="Helvetica-Black"/>
    </font>
    <font>
      <sz val="12"/>
      <name val="Helvetica"/>
      <family val="2"/>
    </font>
    <font>
      <sz val="10"/>
      <color indexed="23"/>
      <name val="MS Sans Serif"/>
      <family val="2"/>
    </font>
    <font>
      <b/>
      <sz val="12"/>
      <name val="MS Sans Serif"/>
      <family val="2"/>
    </font>
    <font>
      <b/>
      <sz val="10.5"/>
      <color indexed="8"/>
      <name val="Arial"/>
      <family val="2"/>
    </font>
    <font>
      <b/>
      <sz val="8"/>
      <name val="HelveticaNeue Condensed"/>
    </font>
    <font>
      <sz val="8"/>
      <name val="HelveticaNeue LightCond"/>
      <family val="2"/>
    </font>
    <font>
      <b/>
      <sz val="7"/>
      <name val="HelveticaNeue Condensed"/>
      <family val="2"/>
    </font>
    <font>
      <b/>
      <sz val="9"/>
      <name val="Palatino"/>
      <family val="1"/>
    </font>
    <font>
      <sz val="9"/>
      <color indexed="21"/>
      <name val="Helvetica-Black"/>
    </font>
    <font>
      <b/>
      <sz val="8.5"/>
      <color indexed="8"/>
      <name val="Arial"/>
      <family val="2"/>
    </font>
    <font>
      <sz val="9"/>
      <name val="Helvetica-Black"/>
    </font>
    <font>
      <sz val="8"/>
      <name val="Helvetica-Narrow"/>
      <family val="2"/>
    </font>
    <font>
      <b/>
      <sz val="7"/>
      <name val="Helvetica-Narrow"/>
      <family val="2"/>
    </font>
    <font>
      <b/>
      <sz val="18"/>
      <color indexed="56"/>
      <name val="Cambria"/>
      <family val="2"/>
    </font>
    <font>
      <b/>
      <sz val="11"/>
      <color indexed="9"/>
      <name val="GillSans"/>
      <family val="2"/>
    </font>
    <font>
      <b/>
      <sz val="11"/>
      <name val="GillSans"/>
      <family val="2"/>
    </font>
    <font>
      <sz val="11"/>
      <color indexed="20"/>
      <name val="Calibri"/>
      <family val="2"/>
    </font>
    <font>
      <sz val="11"/>
      <color indexed="17"/>
      <name val="Calibri"/>
      <family val="2"/>
    </font>
    <font>
      <b/>
      <sz val="15"/>
      <color indexed="63"/>
      <name val="Calibri"/>
      <family val="2"/>
    </font>
    <font>
      <sz val="11"/>
      <color indexed="54"/>
      <name val="Calibri"/>
      <family val="2"/>
    </font>
    <font>
      <sz val="11"/>
      <color indexed="52"/>
      <name val="Calibri"/>
      <family val="2"/>
    </font>
    <font>
      <b/>
      <sz val="11"/>
      <color indexed="8"/>
      <name val="Calibri"/>
      <family val="2"/>
    </font>
    <font>
      <sz val="8"/>
      <color indexed="12"/>
      <name val="Tms Rmn"/>
    </font>
    <font>
      <sz val="10"/>
      <name val="Tms Rmn"/>
    </font>
    <font>
      <b/>
      <sz val="13"/>
      <color indexed="56"/>
      <name val="Calibri"/>
      <family val="2"/>
    </font>
    <font>
      <sz val="11"/>
      <color indexed="19"/>
      <name val="Calibri"/>
      <family val="2"/>
    </font>
    <font>
      <i/>
      <sz val="11"/>
      <color indexed="23"/>
      <name val="Calibri"/>
      <family val="2"/>
    </font>
    <font>
      <b/>
      <sz val="15"/>
      <color indexed="49"/>
      <name val="Calibri"/>
      <family val="2"/>
    </font>
    <font>
      <b/>
      <sz val="13"/>
      <color indexed="49"/>
      <name val="Calibri"/>
      <family val="2"/>
    </font>
    <font>
      <b/>
      <sz val="11"/>
      <color indexed="49"/>
      <name val="Calibri"/>
      <family val="2"/>
    </font>
    <font>
      <sz val="11"/>
      <color indexed="60"/>
      <name val="Calibri"/>
      <family val="2"/>
    </font>
    <font>
      <b/>
      <sz val="18"/>
      <color indexed="49"/>
      <name val="Cambria"/>
      <family val="2"/>
    </font>
    <font>
      <sz val="11"/>
      <color indexed="10"/>
      <name val="Calibri"/>
      <family val="2"/>
    </font>
    <font>
      <sz val="11"/>
      <name val="Frutiger 45 Light"/>
    </font>
    <font>
      <b/>
      <sz val="18"/>
      <color indexed="63"/>
      <name val="Cambria"/>
      <family val="2"/>
    </font>
    <font>
      <b/>
      <sz val="9"/>
      <name val="Arial"/>
      <family val="2"/>
    </font>
    <font>
      <sz val="10"/>
      <color theme="1"/>
      <name val="Arial"/>
      <family val="2"/>
    </font>
    <font>
      <sz val="11"/>
      <color theme="0"/>
      <name val="Calibri"/>
      <family val="2"/>
      <scheme val="minor"/>
    </font>
    <font>
      <sz val="11"/>
      <color rgb="FF9C0006"/>
      <name val="Calibri"/>
      <family val="2"/>
      <scheme val="minor"/>
    </font>
    <font>
      <sz val="11"/>
      <color indexed="20"/>
      <name val="Calibri"/>
      <family val="2"/>
      <scheme val="minor"/>
    </font>
    <font>
      <b/>
      <sz val="11"/>
      <color rgb="FFFA7D00"/>
      <name val="Calibri"/>
      <family val="2"/>
      <scheme val="minor"/>
    </font>
    <font>
      <b/>
      <sz val="11"/>
      <color indexed="52"/>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3"/>
      <color indexed="63"/>
      <name val="Calibri"/>
      <family val="2"/>
      <scheme val="minor"/>
    </font>
    <font>
      <u/>
      <sz val="9.35"/>
      <color theme="10"/>
      <name val="Calibri"/>
      <family val="2"/>
    </font>
    <font>
      <sz val="11"/>
      <color indexed="54"/>
      <name val="Calibri"/>
      <family val="2"/>
      <scheme val="minor"/>
    </font>
    <font>
      <sz val="11"/>
      <color indexed="62"/>
      <name val="Calibri"/>
      <family val="2"/>
      <scheme val="minor"/>
    </font>
    <font>
      <sz val="11"/>
      <color rgb="FFFA7D00"/>
      <name val="Calibri"/>
      <family val="2"/>
      <scheme val="minor"/>
    </font>
    <font>
      <sz val="11"/>
      <color indexed="19"/>
      <name val="Calibri"/>
      <family val="2"/>
      <scheme val="minor"/>
    </font>
    <font>
      <b/>
      <sz val="11"/>
      <color theme="1"/>
      <name val="Calibri"/>
      <family val="2"/>
      <scheme val="minor"/>
    </font>
    <font>
      <sz val="11"/>
      <color rgb="FFFF0000"/>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000000"/>
      <name val="Calibri"/>
      <family val="2"/>
    </font>
    <font>
      <b/>
      <sz val="12"/>
      <name val="tms rmn"/>
    </font>
    <font>
      <sz val="8"/>
      <name val="Times New Roman"/>
      <family val="1"/>
    </font>
    <font>
      <b/>
      <i/>
      <sz val="9"/>
      <name val="Arial"/>
      <family val="2"/>
    </font>
    <font>
      <b/>
      <i/>
      <sz val="8"/>
      <name val="Arial"/>
      <family val="2"/>
    </font>
    <font>
      <b/>
      <sz val="8"/>
      <name val="Book Antiqua"/>
      <family val="1"/>
    </font>
    <font>
      <sz val="11"/>
      <color indexed="12"/>
      <name val="Book Antiqua"/>
      <family val="1"/>
    </font>
    <font>
      <b/>
      <sz val="10"/>
      <color indexed="42"/>
      <name val="Arial"/>
      <family val="2"/>
    </font>
    <font>
      <b/>
      <sz val="8"/>
      <name val="Palatino"/>
      <family val="1"/>
    </font>
    <font>
      <b/>
      <sz val="10"/>
      <name val="Palatino"/>
      <family val="1"/>
    </font>
    <font>
      <sz val="8"/>
      <name val="Book Antiqua"/>
      <family val="1"/>
    </font>
    <font>
      <sz val="12"/>
      <name val="Arial MT"/>
    </font>
    <font>
      <b/>
      <u/>
      <sz val="9"/>
      <name val="Arial"/>
      <family val="2"/>
    </font>
    <font>
      <b/>
      <sz val="7"/>
      <name val="Arial"/>
      <family val="2"/>
    </font>
    <font>
      <sz val="11"/>
      <color indexed="62"/>
      <name val="Calibri"/>
      <family val="2"/>
    </font>
    <font>
      <sz val="18"/>
      <color theme="3"/>
      <name val="Calibri Light"/>
      <family val="2"/>
      <scheme val="major"/>
    </font>
    <font>
      <sz val="8"/>
      <color indexed="12"/>
      <name val="Arial"/>
      <family val="2"/>
    </font>
    <font>
      <sz val="8"/>
      <name val="Tms Rmn"/>
    </font>
    <font>
      <sz val="11"/>
      <name val="‚l‚r ƒSƒVƒbƒN"/>
      <charset val="128"/>
    </font>
    <font>
      <i/>
      <sz val="11"/>
      <name val="Helvetica-Black"/>
      <family val="2"/>
    </font>
    <font>
      <sz val="11"/>
      <name val="Arial"/>
      <family val="2"/>
    </font>
    <font>
      <i/>
      <sz val="8"/>
      <color indexed="16"/>
      <name val="Arial"/>
      <family val="2"/>
    </font>
    <font>
      <i/>
      <sz val="8"/>
      <color indexed="54"/>
      <name val="Arial"/>
      <family val="2"/>
    </font>
    <font>
      <i/>
      <sz val="9"/>
      <color indexed="16"/>
      <name val="Arial"/>
      <family val="2"/>
    </font>
    <font>
      <b/>
      <sz val="11"/>
      <name val="Arial"/>
      <family val="2"/>
    </font>
    <font>
      <sz val="9"/>
      <name val="Arial"/>
      <family val="2"/>
    </font>
    <font>
      <b/>
      <sz val="9"/>
      <name val="Helvetica 65"/>
      <family val="2"/>
    </font>
    <font>
      <sz val="11"/>
      <color indexed="36"/>
      <name val="Calibri"/>
      <family val="2"/>
    </font>
    <font>
      <sz val="8"/>
      <color indexed="13"/>
      <name val="Arial"/>
      <family val="2"/>
    </font>
    <font>
      <sz val="9"/>
      <color indexed="9"/>
      <name val="Times New Roman"/>
      <family val="1"/>
    </font>
    <font>
      <b/>
      <sz val="12"/>
      <name val="Times New Roman"/>
      <family val="1"/>
    </font>
    <font>
      <sz val="10"/>
      <name val="Letter Gothic"/>
      <family val="3"/>
    </font>
    <font>
      <sz val="12"/>
      <name val="¹ÙÅÁÃ¼"/>
      <family val="1"/>
      <charset val="129"/>
    </font>
    <font>
      <b/>
      <sz val="11"/>
      <color indexed="43"/>
      <name val="Calibri"/>
      <family val="2"/>
    </font>
    <font>
      <b/>
      <sz val="10"/>
      <name val="Helv"/>
    </font>
    <font>
      <sz val="10"/>
      <name val="Book Antiqua"/>
      <family val="1"/>
    </font>
    <font>
      <sz val="10"/>
      <color indexed="18"/>
      <name val="Times New Roman"/>
      <family val="1"/>
    </font>
    <font>
      <sz val="11"/>
      <name val="Tms Rmn"/>
      <family val="1"/>
    </font>
    <font>
      <i/>
      <sz val="9"/>
      <name val="MS Sans Serif"/>
      <family val="2"/>
    </font>
    <font>
      <sz val="9"/>
      <name val="Helvetica 45"/>
      <family val="2"/>
    </font>
    <font>
      <sz val="10"/>
      <name val="Arial Narrow"/>
      <family val="2"/>
    </font>
    <font>
      <sz val="14"/>
      <color indexed="32"/>
      <name val="Times New Roman"/>
      <family val="1"/>
    </font>
    <font>
      <sz val="12"/>
      <name val="Arial"/>
      <family val="2"/>
    </font>
    <font>
      <b/>
      <sz val="10"/>
      <color indexed="17"/>
      <name val="Helvetica"/>
      <family val="2"/>
    </font>
    <font>
      <sz val="9"/>
      <name val="Futura UBS Bk"/>
      <family val="2"/>
    </font>
    <font>
      <b/>
      <sz val="12"/>
      <name val="Helv"/>
    </font>
    <font>
      <b/>
      <sz val="15"/>
      <color indexed="62"/>
      <name val="Calibri"/>
      <family val="2"/>
    </font>
    <font>
      <b/>
      <sz val="18"/>
      <name val="Arial"/>
      <family val="2"/>
    </font>
    <font>
      <b/>
      <sz val="13"/>
      <color indexed="62"/>
      <name val="Calibri"/>
      <family val="2"/>
    </font>
    <font>
      <b/>
      <sz val="11"/>
      <color indexed="62"/>
      <name val="Calibri"/>
      <family val="2"/>
    </font>
    <font>
      <sz val="10"/>
      <color indexed="10"/>
      <name val="Times New Roman"/>
      <family val="1"/>
    </font>
    <font>
      <sz val="10"/>
      <color indexed="12"/>
      <name val="Times New Roman"/>
      <family val="1"/>
    </font>
    <font>
      <sz val="11"/>
      <color indexed="43"/>
      <name val="Calibri"/>
      <family val="2"/>
    </font>
    <font>
      <b/>
      <sz val="11"/>
      <name val="Helv"/>
    </font>
    <font>
      <sz val="7"/>
      <name val="Small Fonts"/>
      <family val="2"/>
    </font>
    <font>
      <sz val="10"/>
      <name val="Palatino"/>
      <family val="1"/>
    </font>
    <font>
      <sz val="11"/>
      <name val="‚l‚r –¾’©"/>
      <charset val="128"/>
    </font>
    <font>
      <b/>
      <sz val="13.5"/>
      <name val="MS Sans Serif"/>
      <family val="2"/>
    </font>
    <font>
      <sz val="8"/>
      <color indexed="32"/>
      <name val="Arial"/>
      <family val="2"/>
    </font>
    <font>
      <b/>
      <sz val="10"/>
      <name val="MS Sans Serif"/>
      <family val="2"/>
    </font>
    <font>
      <sz val="8"/>
      <color indexed="12"/>
      <name val="Helvetica"/>
      <family val="2"/>
    </font>
    <font>
      <sz val="9.5"/>
      <color indexed="23"/>
      <name val="Helvetica-Black"/>
    </font>
    <font>
      <sz val="11"/>
      <color theme="3"/>
      <name val="Calibri"/>
      <family val="2"/>
    </font>
    <font>
      <b/>
      <sz val="11"/>
      <color theme="3"/>
      <name val="Calibri"/>
      <family val="2"/>
    </font>
    <font>
      <b/>
      <sz val="11"/>
      <name val="Calibri"/>
      <family val="2"/>
      <scheme val="minor"/>
    </font>
    <font>
      <sz val="11"/>
      <name val="Calibri"/>
      <family val="2"/>
      <scheme val="minor"/>
    </font>
    <font>
      <sz val="11"/>
      <color theme="1"/>
      <name val="Calibri"/>
      <family val="2"/>
      <charset val="238"/>
      <scheme val="minor"/>
    </font>
    <font>
      <sz val="10"/>
      <color rgb="FF000000"/>
      <name val="Tahoma"/>
      <family val="2"/>
    </font>
    <font>
      <b/>
      <sz val="10"/>
      <color rgb="FF000000"/>
      <name val="Tahoma"/>
      <family val="2"/>
    </font>
    <font>
      <sz val="10"/>
      <color rgb="FF000000"/>
      <name val="Calibri"/>
      <family val="2"/>
      <scheme val="minor"/>
    </font>
    <font>
      <sz val="11"/>
      <color theme="1"/>
      <name val="Calibri"/>
      <family val="2"/>
    </font>
    <font>
      <b/>
      <sz val="8"/>
      <color rgb="FF000000"/>
      <name val="Arial"/>
      <family val="2"/>
    </font>
    <font>
      <sz val="8"/>
      <color rgb="FF000000"/>
      <name val="Arial"/>
      <family val="2"/>
    </font>
    <font>
      <sz val="10"/>
      <color rgb="FF000000"/>
      <name val="Times New Roman"/>
      <family val="1"/>
    </font>
    <font>
      <b/>
      <sz val="16"/>
      <color rgb="FF000000"/>
      <name val="Arial"/>
      <family val="2"/>
    </font>
    <font>
      <b/>
      <sz val="9"/>
      <color rgb="FF000000"/>
      <name val="Arial"/>
      <family val="2"/>
    </font>
    <font>
      <b/>
      <sz val="8"/>
      <color rgb="FF000000"/>
      <name val="HelveticaNeueLT W1G 55 Roman"/>
    </font>
    <font>
      <sz val="8"/>
      <color rgb="FF000000"/>
      <name val="HelveticaNeueLT W1G 55 Roman"/>
    </font>
    <font>
      <vertAlign val="superscript"/>
      <sz val="8"/>
      <color rgb="FF000000"/>
      <name val="Arial"/>
      <family val="2"/>
    </font>
    <font>
      <sz val="8"/>
      <name val="Calibri"/>
      <family val="2"/>
      <charset val="238"/>
      <scheme val="minor"/>
    </font>
    <font>
      <sz val="11"/>
      <color rgb="FF000000"/>
      <name val="Calibri"/>
      <family val="2"/>
      <charset val="238"/>
      <scheme val="minor"/>
    </font>
    <font>
      <sz val="11"/>
      <color rgb="FF000000"/>
      <name val="Calibri"/>
      <family val="2"/>
    </font>
    <font>
      <b/>
      <i/>
      <sz val="11"/>
      <color theme="1"/>
      <name val="Calibri"/>
      <family val="2"/>
      <scheme val="minor"/>
    </font>
    <font>
      <b/>
      <sz val="11"/>
      <color theme="1"/>
      <name val="Apros Narrow"/>
    </font>
    <font>
      <sz val="11"/>
      <color theme="1"/>
      <name val="Apros Narrow"/>
    </font>
    <font>
      <i/>
      <sz val="11"/>
      <color rgb="FF000000"/>
      <name val="Apros Narrow"/>
    </font>
    <font>
      <b/>
      <i/>
      <sz val="11"/>
      <color rgb="FF000000"/>
      <name val="Apros Narrow"/>
    </font>
    <font>
      <i/>
      <sz val="11"/>
      <color rgb="FFFF0000"/>
      <name val="Apros Narrow"/>
    </font>
    <font>
      <b/>
      <sz val="11"/>
      <name val="Apros Narrow"/>
    </font>
    <font>
      <sz val="11"/>
      <name val="Calibri"/>
      <family val="2"/>
      <charset val="238"/>
      <scheme val="minor"/>
    </font>
    <font>
      <b/>
      <sz val="14"/>
      <color rgb="FF000000"/>
      <name val="Arial"/>
      <family val="2"/>
    </font>
    <font>
      <b/>
      <i/>
      <sz val="12"/>
      <color rgb="FF000000"/>
      <name val="Arial Narrow"/>
      <family val="2"/>
      <charset val="238"/>
    </font>
    <font>
      <i/>
      <sz val="12"/>
      <color rgb="FF000000"/>
      <name val="Arial Narrow"/>
      <family val="2"/>
      <charset val="238"/>
    </font>
    <font>
      <sz val="9"/>
      <color rgb="FF000000"/>
      <name val="Tahoma"/>
      <family val="2"/>
      <charset val="238"/>
    </font>
    <font>
      <b/>
      <sz val="12"/>
      <color rgb="FF000000"/>
      <name val="Calibri"/>
      <family val="2"/>
    </font>
    <font>
      <b/>
      <i/>
      <sz val="11"/>
      <color rgb="FF000000"/>
      <name val="Calibri"/>
      <family val="2"/>
    </font>
    <font>
      <i/>
      <sz val="11"/>
      <color rgb="FF595959"/>
      <name val="Calibri"/>
      <family val="2"/>
    </font>
    <font>
      <b/>
      <sz val="11"/>
      <color theme="1"/>
      <name val="Calibri"/>
      <family val="2"/>
      <charset val="238"/>
      <scheme val="minor"/>
    </font>
    <font>
      <b/>
      <sz val="14"/>
      <color theme="1"/>
      <name val="Calibri (Body)"/>
    </font>
    <font>
      <sz val="11"/>
      <color theme="1"/>
      <name val="Arial"/>
      <family val="2"/>
      <charset val="238"/>
    </font>
    <font>
      <b/>
      <sz val="11"/>
      <color theme="1"/>
      <name val="Arial"/>
      <family val="2"/>
      <charset val="238"/>
    </font>
    <font>
      <sz val="11"/>
      <color theme="1"/>
      <name val="Czcionka tekstu podstawowego"/>
      <family val="2"/>
      <charset val="238"/>
    </font>
    <font>
      <sz val="11"/>
      <name val="Arial"/>
      <family val="2"/>
      <charset val="238"/>
    </font>
    <font>
      <sz val="11"/>
      <color rgb="FFFF0000"/>
      <name val="Arial"/>
      <family val="2"/>
      <charset val="238"/>
    </font>
    <font>
      <b/>
      <sz val="11"/>
      <name val="Arial"/>
      <family val="2"/>
      <charset val="238"/>
    </font>
    <font>
      <b/>
      <sz val="11"/>
      <color rgb="FFFF0000"/>
      <name val="Arial"/>
      <family val="2"/>
      <charset val="238"/>
    </font>
    <font>
      <b/>
      <sz val="11"/>
      <color rgb="FFFF0000"/>
      <name val="Arial"/>
      <family val="2"/>
    </font>
    <font>
      <sz val="10"/>
      <color rgb="FFFF0000"/>
      <name val="Calibri"/>
      <family val="2"/>
      <scheme val="minor"/>
    </font>
    <font>
      <b/>
      <sz val="9"/>
      <color rgb="FF000000"/>
      <name val="Tahoma"/>
      <family val="2"/>
      <charset val="238"/>
    </font>
    <font>
      <sz val="11"/>
      <color rgb="FFFF0000"/>
      <name val="Arial"/>
      <family val="2"/>
    </font>
    <font>
      <b/>
      <sz val="12"/>
      <color theme="1"/>
      <name val="Calibri"/>
      <family val="2"/>
      <scheme val="minor"/>
    </font>
    <font>
      <b/>
      <sz val="11"/>
      <color rgb="FF1F4E79"/>
      <name val="Calibri"/>
      <family val="2"/>
      <scheme val="minor"/>
    </font>
    <font>
      <b/>
      <sz val="12"/>
      <color rgb="FF0000FF"/>
      <name val="Calibri"/>
      <family val="2"/>
      <scheme val="minor"/>
    </font>
    <font>
      <i/>
      <sz val="12"/>
      <color rgb="FF808080"/>
      <name val="Calibri"/>
      <family val="2"/>
      <scheme val="minor"/>
    </font>
    <font>
      <u/>
      <sz val="12"/>
      <color theme="10"/>
      <name val="Calibri"/>
      <family val="2"/>
      <scheme val="minor"/>
    </font>
    <font>
      <i/>
      <sz val="11"/>
      <color rgb="FF4472C4"/>
      <name val="Calibri"/>
      <family val="2"/>
      <scheme val="minor"/>
    </font>
    <font>
      <u/>
      <sz val="11"/>
      <color theme="10"/>
      <name val="Calibri"/>
      <family val="2"/>
      <charset val="238"/>
      <scheme val="minor"/>
    </font>
    <font>
      <b/>
      <u/>
      <sz val="12"/>
      <color theme="1"/>
      <name val="Calibri"/>
      <family val="2"/>
      <scheme val="minor"/>
    </font>
    <font>
      <sz val="9"/>
      <color theme="1"/>
      <name val="Calibri"/>
      <family val="2"/>
      <scheme val="minor"/>
    </font>
    <font>
      <sz val="14"/>
      <color rgb="FF232A31"/>
      <name val="Arial"/>
      <family val="2"/>
    </font>
    <font>
      <sz val="11"/>
      <color rgb="FF595959"/>
      <name val="Calibri"/>
      <family val="2"/>
    </font>
    <font>
      <sz val="11"/>
      <color rgb="FF000000"/>
      <name val="Calibri"/>
      <family val="2"/>
      <scheme val="minor"/>
    </font>
    <font>
      <sz val="40"/>
      <name val="Arial"/>
      <family val="2"/>
    </font>
    <font>
      <sz val="10"/>
      <color theme="4"/>
      <name val="Arial"/>
      <family val="2"/>
    </font>
    <font>
      <sz val="40"/>
      <color theme="0"/>
      <name val="Arial"/>
      <family val="2"/>
    </font>
    <font>
      <b/>
      <sz val="14"/>
      <color theme="0"/>
      <name val="Calibri"/>
      <family val="2"/>
      <scheme val="minor"/>
    </font>
    <font>
      <b/>
      <sz val="16"/>
      <color theme="0"/>
      <name val="Calibri"/>
      <family val="2"/>
      <scheme val="minor"/>
    </font>
    <font>
      <b/>
      <sz val="20"/>
      <color theme="0"/>
      <name val="Calibri"/>
      <family val="2"/>
      <scheme val="minor"/>
    </font>
    <font>
      <b/>
      <sz val="22"/>
      <color theme="0"/>
      <name val="Calibri"/>
      <family val="2"/>
      <scheme val="minor"/>
    </font>
    <font>
      <b/>
      <sz val="26"/>
      <color theme="0"/>
      <name val="Calibri"/>
      <family val="2"/>
      <scheme val="minor"/>
    </font>
    <font>
      <b/>
      <sz val="11"/>
      <color rgb="FF000000"/>
      <name val="Calibri"/>
      <family val="2"/>
      <scheme val="minor"/>
    </font>
    <font>
      <b/>
      <sz val="12"/>
      <color theme="1"/>
      <name val="Arial Narrow"/>
      <family val="2"/>
      <charset val="238"/>
    </font>
    <font>
      <sz val="11"/>
      <color theme="0"/>
      <name val="Calibri"/>
      <family val="2"/>
      <charset val="238"/>
      <scheme val="minor"/>
    </font>
    <font>
      <sz val="11"/>
      <color theme="7"/>
      <name val="Calibri"/>
      <family val="2"/>
      <charset val="238"/>
      <scheme val="minor"/>
    </font>
    <font>
      <b/>
      <sz val="14"/>
      <color theme="0"/>
      <name val="Calibri (Body)"/>
    </font>
    <font>
      <b/>
      <sz val="14"/>
      <color theme="1"/>
      <name val="Calibri"/>
      <family val="2"/>
      <charset val="238"/>
      <scheme val="minor"/>
    </font>
    <font>
      <b/>
      <sz val="22"/>
      <color theme="0"/>
      <name val="Calibri"/>
      <family val="2"/>
      <charset val="238"/>
      <scheme val="minor"/>
    </font>
    <font>
      <sz val="9"/>
      <color rgb="FF000000"/>
      <name val="Calibri"/>
      <family val="2"/>
    </font>
    <font>
      <b/>
      <sz val="16"/>
      <color theme="1"/>
      <name val="Calibri"/>
      <family val="2"/>
      <scheme val="minor"/>
    </font>
    <font>
      <b/>
      <sz val="13"/>
      <color theme="1"/>
      <name val="Calibri"/>
      <family val="2"/>
      <scheme val="minor"/>
    </font>
    <font>
      <b/>
      <sz val="11"/>
      <color theme="1"/>
      <name val="Aptos Narrow"/>
    </font>
    <font>
      <i/>
      <sz val="12"/>
      <color theme="1"/>
      <name val="Calibri"/>
      <family val="2"/>
      <scheme val="minor"/>
    </font>
    <font>
      <b/>
      <sz val="12"/>
      <color theme="0"/>
      <name val="Calibri"/>
      <family val="2"/>
      <scheme val="minor"/>
    </font>
    <font>
      <b/>
      <strike/>
      <sz val="16"/>
      <color theme="0"/>
      <name val="Calibri"/>
      <family val="2"/>
      <scheme val="minor"/>
    </font>
    <font>
      <b/>
      <sz val="24"/>
      <color theme="0"/>
      <name val="Calibri"/>
      <family val="2"/>
      <scheme val="minor"/>
    </font>
  </fonts>
  <fills count="11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9"/>
      </patternFill>
    </fill>
    <fill>
      <patternFill patternType="solid">
        <fgColor indexed="31"/>
      </patternFill>
    </fill>
    <fill>
      <patternFill patternType="solid">
        <fgColor indexed="9"/>
      </patternFill>
    </fill>
    <fill>
      <patternFill patternType="solid">
        <fgColor indexed="62"/>
      </patternFill>
    </fill>
    <fill>
      <patternFill patternType="solid">
        <fgColor indexed="45"/>
      </patternFill>
    </fill>
    <fill>
      <patternFill patternType="solid">
        <fgColor indexed="47"/>
      </patternFill>
    </fill>
    <fill>
      <patternFill patternType="solid">
        <fgColor indexed="60"/>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7"/>
      </patternFill>
    </fill>
    <fill>
      <patternFill patternType="solid">
        <fgColor indexed="22"/>
      </patternFill>
    </fill>
    <fill>
      <patternFill patternType="solid">
        <fgColor indexed="29"/>
      </patternFill>
    </fill>
    <fill>
      <patternFill patternType="solid">
        <fgColor indexed="63"/>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57"/>
      </patternFill>
    </fill>
    <fill>
      <patternFill patternType="solid">
        <fgColor indexed="36"/>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3"/>
      </patternFill>
    </fill>
    <fill>
      <patternFill patternType="solid">
        <fgColor indexed="42"/>
        <bgColor indexed="42"/>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gray0625">
        <fgColor indexed="10"/>
        <bgColor indexed="9"/>
      </patternFill>
    </fill>
    <fill>
      <patternFill patternType="lightGray">
        <fgColor indexed="14"/>
        <bgColor indexed="9"/>
      </patternFill>
    </fill>
    <fill>
      <patternFill patternType="solid">
        <fgColor indexed="55"/>
      </patternFill>
    </fill>
    <fill>
      <patternFill patternType="solid">
        <fgColor indexed="60"/>
        <bgColor indexed="64"/>
      </patternFill>
    </fill>
    <fill>
      <patternFill patternType="lightGray">
        <fgColor indexed="12"/>
      </patternFill>
    </fill>
    <fill>
      <patternFill patternType="lightGray">
        <fgColor indexed="12"/>
        <bgColor indexed="9"/>
      </patternFill>
    </fill>
    <fill>
      <patternFill patternType="solid">
        <fgColor indexed="22"/>
        <bgColor indexed="64"/>
      </patternFill>
    </fill>
    <fill>
      <patternFill patternType="solid">
        <fgColor indexed="26"/>
        <bgColor indexed="64"/>
      </patternFill>
    </fill>
    <fill>
      <patternFill patternType="solid">
        <fgColor indexed="11"/>
        <bgColor indexed="9"/>
      </patternFill>
    </fill>
    <fill>
      <patternFill patternType="solid">
        <fgColor indexed="13"/>
        <bgColor indexed="64"/>
      </patternFill>
    </fill>
    <fill>
      <patternFill patternType="solid">
        <fgColor indexed="8"/>
        <bgColor indexed="64"/>
      </patternFill>
    </fill>
    <fill>
      <patternFill patternType="solid">
        <fgColor indexed="62"/>
        <bgColor indexed="64"/>
      </patternFill>
    </fill>
    <fill>
      <patternFill patternType="solid">
        <fgColor indexed="63"/>
        <bgColor indexed="64"/>
      </patternFill>
    </fill>
    <fill>
      <patternFill patternType="solid">
        <fgColor indexed="56"/>
        <bgColor indexed="64"/>
      </patternFill>
    </fill>
    <fill>
      <patternFill patternType="lightGray">
        <fgColor indexed="22"/>
        <bgColor indexed="9"/>
      </patternFill>
    </fill>
    <fill>
      <patternFill patternType="solid">
        <fgColor indexed="16"/>
        <bgColor indexed="64"/>
      </patternFill>
    </fill>
    <fill>
      <patternFill patternType="solid">
        <fgColor indexed="65"/>
        <bgColor indexed="64"/>
      </patternFill>
    </fill>
    <fill>
      <patternFill patternType="solid">
        <fgColor rgb="FF4F81BD"/>
        <bgColor indexed="64"/>
      </patternFill>
    </fill>
    <fill>
      <patternFill patternType="lightGray">
        <fgColor indexed="13"/>
      </patternFill>
    </fill>
    <fill>
      <patternFill patternType="solid">
        <fgColor indexed="9"/>
        <bgColor indexed="64"/>
      </patternFill>
    </fill>
    <fill>
      <patternFill patternType="solid">
        <fgColor indexed="40"/>
      </patternFill>
    </fill>
    <fill>
      <patternFill patternType="solid">
        <fgColor indexed="61"/>
      </patternFill>
    </fill>
    <fill>
      <patternFill patternType="solid">
        <fgColor indexed="18"/>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51"/>
        <bgColor indexed="64"/>
      </patternFill>
    </fill>
    <fill>
      <patternFill patternType="solid">
        <fgColor indexed="48"/>
      </patternFill>
    </fill>
    <fill>
      <patternFill patternType="solid">
        <fgColor indexed="32"/>
        <bgColor indexed="64"/>
      </patternFill>
    </fill>
    <fill>
      <patternFill patternType="solid">
        <fgColor indexed="23"/>
      </patternFill>
    </fill>
    <fill>
      <patternFill patternType="solid">
        <fgColor indexed="35"/>
        <bgColor indexed="64"/>
      </patternFill>
    </fill>
    <fill>
      <patternFill patternType="mediumGray">
        <fgColor indexed="22"/>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4"/>
        <bgColor indexed="64"/>
      </patternFill>
    </fill>
    <fill>
      <patternFill patternType="solid">
        <fgColor theme="4" tint="0.39997558519241921"/>
        <bgColor indexed="64"/>
      </patternFill>
    </fill>
    <fill>
      <patternFill patternType="solid">
        <fgColor theme="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2" tint="-9.9978637043366805E-2"/>
        <bgColor rgb="FF000000"/>
      </patternFill>
    </fill>
    <fill>
      <patternFill patternType="solid">
        <fgColor rgb="FFFFC000"/>
        <bgColor indexed="64"/>
      </patternFill>
    </fill>
    <fill>
      <patternFill patternType="solid">
        <fgColor theme="7"/>
        <bgColor indexed="64"/>
      </patternFill>
    </fill>
    <fill>
      <patternFill patternType="solid">
        <fgColor rgb="FF92D05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249977111117893"/>
        <bgColor indexed="64"/>
      </patternFill>
    </fill>
  </fills>
  <borders count="10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8"/>
      </left>
      <right style="double">
        <color indexed="8"/>
      </right>
      <top style="double">
        <color indexed="8"/>
      </top>
      <bottom style="double">
        <color indexed="8"/>
      </bottom>
      <diagonal/>
    </border>
    <border>
      <left style="double">
        <color indexed="63"/>
      </left>
      <right style="double">
        <color indexed="63"/>
      </right>
      <top style="double">
        <color indexed="63"/>
      </top>
      <bottom style="double">
        <color indexed="63"/>
      </bottom>
      <diagonal/>
    </border>
    <border>
      <left/>
      <right/>
      <top/>
      <bottom style="dotted">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thin">
        <color indexed="64"/>
      </bottom>
      <diagonal/>
    </border>
    <border>
      <left style="thin">
        <color indexed="64"/>
      </left>
      <right/>
      <top/>
      <bottom/>
      <diagonal/>
    </border>
    <border>
      <left/>
      <right/>
      <top/>
      <bottom style="double">
        <color indexed="64"/>
      </bottom>
      <diagonal/>
    </border>
    <border>
      <left/>
      <right/>
      <top style="thin">
        <color indexed="49"/>
      </top>
      <bottom style="double">
        <color indexed="49"/>
      </bottom>
      <diagonal/>
    </border>
    <border>
      <left/>
      <right/>
      <top style="thin">
        <color indexed="62"/>
      </top>
      <bottom style="double">
        <color indexed="62"/>
      </bottom>
      <diagonal/>
    </border>
    <border>
      <left style="thin">
        <color indexed="64"/>
      </left>
      <right/>
      <top style="thin">
        <color indexed="64"/>
      </top>
      <bottom/>
      <diagonal/>
    </border>
    <border>
      <left/>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thin">
        <color auto="1"/>
      </left>
      <right style="thin">
        <color auto="1"/>
      </right>
      <top/>
      <bottom style="thin">
        <color auto="1"/>
      </bottom>
      <diagonal/>
    </border>
    <border>
      <left/>
      <right/>
      <top/>
      <bottom style="thin">
        <color indexed="64"/>
      </bottom>
      <diagonal/>
    </border>
    <border>
      <left/>
      <right style="thin">
        <color indexed="8"/>
      </right>
      <top style="thin">
        <color indexed="8"/>
      </top>
      <bottom/>
      <diagonal/>
    </border>
    <border>
      <left style="thick">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thick">
        <color indexed="37"/>
      </bottom>
      <diagonal/>
    </border>
    <border>
      <left/>
      <right/>
      <top style="medium">
        <color indexed="64"/>
      </top>
      <bottom style="medium">
        <color indexed="64"/>
      </bottom>
      <diagonal/>
    </border>
    <border>
      <left/>
      <right/>
      <top/>
      <bottom style="thick">
        <color indexed="48"/>
      </bottom>
      <diagonal/>
    </border>
    <border>
      <left/>
      <right/>
      <top/>
      <bottom style="thick">
        <color indexed="40"/>
      </bottom>
      <diagonal/>
    </border>
    <border>
      <left/>
      <right/>
      <top/>
      <bottom style="medium">
        <color indexed="40"/>
      </bottom>
      <diagonal/>
    </border>
    <border>
      <left/>
      <right/>
      <top/>
      <bottom style="double">
        <color indexed="43"/>
      </bottom>
      <diagonal/>
    </border>
    <border>
      <left style="thin">
        <color indexed="55"/>
      </left>
      <right style="thin">
        <color indexed="55"/>
      </right>
      <top style="thin">
        <color indexed="55"/>
      </top>
      <bottom style="thin">
        <color indexed="55"/>
      </bottom>
      <diagonal/>
    </border>
    <border>
      <left/>
      <right/>
      <top style="medium">
        <color indexed="23"/>
      </top>
      <bottom style="medium">
        <color indexed="23"/>
      </bottom>
      <diagonal/>
    </border>
    <border>
      <left/>
      <right/>
      <top style="thin">
        <color indexed="48"/>
      </top>
      <bottom style="double">
        <color indexed="48"/>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right/>
      <top style="thin">
        <color rgb="FF000000"/>
      </top>
      <bottom/>
      <diagonal/>
    </border>
    <border>
      <left/>
      <right/>
      <top/>
      <bottom style="thin">
        <color rgb="FF000000"/>
      </bottom>
      <diagonal/>
    </border>
    <border>
      <left/>
      <right/>
      <top/>
      <bottom style="thin">
        <color indexed="64"/>
      </bottom>
      <diagonal/>
    </border>
    <border>
      <left/>
      <right/>
      <top/>
      <bottom style="double">
        <color auto="1"/>
      </bottom>
      <diagonal/>
    </border>
    <border>
      <left/>
      <right/>
      <top style="double">
        <color auto="1"/>
      </top>
      <bottom style="double">
        <color auto="1"/>
      </bottom>
      <diagonal/>
    </border>
    <border>
      <left/>
      <right/>
      <top style="thin">
        <color auto="1"/>
      </top>
      <bottom style="thin">
        <color auto="1"/>
      </bottom>
      <diagonal/>
    </border>
    <border>
      <left/>
      <right/>
      <top style="thin">
        <color rgb="FF2E75B6"/>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diagonal/>
    </border>
    <border>
      <left/>
      <right style="medium">
        <color indexed="64"/>
      </right>
      <top/>
      <bottom/>
      <diagonal/>
    </border>
    <border>
      <left style="medium">
        <color indexed="64"/>
      </left>
      <right/>
      <top/>
      <bottom style="dotted">
        <color indexed="64"/>
      </bottom>
      <diagonal/>
    </border>
    <border>
      <left/>
      <right style="medium">
        <color indexed="64"/>
      </right>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top style="thin">
        <color auto="1"/>
      </top>
      <bottom/>
      <diagonal/>
    </border>
    <border>
      <left style="medium">
        <color indexed="64"/>
      </left>
      <right/>
      <top/>
      <bottom style="double">
        <color auto="1"/>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rgb="FF1F4E79"/>
      </top>
      <bottom/>
      <diagonal/>
    </border>
    <border>
      <left style="medium">
        <color indexed="64"/>
      </left>
      <right/>
      <top style="thin">
        <color indexed="64"/>
      </top>
      <bottom style="thin">
        <color indexed="64"/>
      </bottom>
      <diagonal/>
    </border>
    <border>
      <left/>
      <right style="medium">
        <color indexed="64"/>
      </right>
      <top style="thin">
        <color auto="1"/>
      </top>
      <bottom style="thin">
        <color auto="1"/>
      </bottom>
      <diagonal/>
    </border>
    <border>
      <left/>
      <right style="medium">
        <color indexed="64"/>
      </right>
      <top style="thin">
        <color auto="1"/>
      </top>
      <bottom/>
      <diagonal/>
    </border>
    <border>
      <left style="medium">
        <color indexed="64"/>
      </left>
      <right/>
      <top style="double">
        <color auto="1"/>
      </top>
      <bottom style="double">
        <color auto="1"/>
      </bottom>
      <diagonal/>
    </border>
    <border>
      <left/>
      <right style="medium">
        <color indexed="64"/>
      </right>
      <top style="double">
        <color auto="1"/>
      </top>
      <bottom style="double">
        <color auto="1"/>
      </bottom>
      <diagonal/>
    </border>
    <border>
      <left style="medium">
        <color indexed="64"/>
      </left>
      <right/>
      <top style="thin">
        <color rgb="FF1F4E79"/>
      </top>
      <bottom/>
      <diagonal/>
    </border>
  </borders>
  <cellStyleXfs count="8212">
    <xf numFmtId="0" fontId="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206"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7" fontId="20" fillId="0" borderId="0" applyFont="0" applyFill="0" applyBorder="0" applyAlignment="0" applyProtection="0"/>
    <xf numFmtId="178" fontId="20" fillId="0" borderId="0" applyFont="0" applyFill="0" applyBorder="0" applyAlignment="0" applyProtection="0"/>
    <xf numFmtId="178" fontId="20" fillId="0" borderId="0" applyFont="0" applyFill="0" applyBorder="0" applyAlignment="0" applyProtection="0"/>
    <xf numFmtId="178" fontId="20" fillId="0" borderId="0" applyFont="0" applyFill="0" applyBorder="0" applyAlignment="0" applyProtection="0"/>
    <xf numFmtId="178" fontId="20" fillId="0" borderId="0" applyFont="0" applyFill="0" applyBorder="0" applyAlignment="0" applyProtection="0"/>
    <xf numFmtId="178" fontId="20" fillId="0" borderId="0" applyFont="0" applyFill="0" applyBorder="0" applyAlignment="0" applyProtection="0"/>
    <xf numFmtId="178" fontId="20" fillId="0" borderId="0" applyFont="0" applyFill="0" applyBorder="0" applyAlignment="0" applyProtection="0"/>
    <xf numFmtId="179" fontId="20" fillId="0" borderId="0" applyFont="0" applyFill="0" applyBorder="0" applyAlignment="0" applyProtection="0"/>
    <xf numFmtId="179" fontId="20" fillId="0" borderId="0" applyFont="0" applyFill="0" applyBorder="0" applyAlignment="0" applyProtection="0"/>
    <xf numFmtId="179" fontId="20" fillId="0" borderId="0" applyFont="0" applyFill="0" applyBorder="0" applyAlignment="0" applyProtection="0"/>
    <xf numFmtId="179" fontId="20" fillId="0" borderId="0" applyFont="0" applyFill="0" applyBorder="0" applyAlignment="0" applyProtection="0"/>
    <xf numFmtId="179" fontId="20" fillId="0" borderId="0" applyFont="0" applyFill="0" applyBorder="0" applyAlignment="0" applyProtection="0"/>
    <xf numFmtId="179"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38" fillId="0" borderId="0" applyNumberFormat="0" applyFont="0" applyFill="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23" fillId="34"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23" fillId="37"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0"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35"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23" fillId="42"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23" fillId="44"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23" fillId="38"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5"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23" fillId="46"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23" fillId="48"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45"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23" fillId="42"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23" fillId="4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23" fillId="38"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23"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23" fillId="50"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2" borderId="0" applyNumberFormat="0" applyBorder="0" applyAlignment="0" applyProtection="0"/>
    <xf numFmtId="0" fontId="33" fillId="51"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52" borderId="0" applyNumberFormat="0" applyBorder="0" applyAlignment="0" applyProtection="0"/>
    <xf numFmtId="0" fontId="100" fillId="51" borderId="0" applyNumberFormat="0" applyBorder="0" applyAlignment="0" applyProtection="0"/>
    <xf numFmtId="0" fontId="100" fillId="52" borderId="0" applyNumberFormat="0" applyBorder="0" applyAlignment="0" applyProtection="0"/>
    <xf numFmtId="0" fontId="100" fillId="51"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6" borderId="0" applyNumberFormat="0" applyBorder="0" applyAlignment="0" applyProtection="0"/>
    <xf numFmtId="0" fontId="33" fillId="47"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6" borderId="0" applyNumberFormat="0" applyBorder="0" applyAlignment="0" applyProtection="0"/>
    <xf numFmtId="0" fontId="100" fillId="53" borderId="0" applyNumberFormat="0" applyBorder="0" applyAlignment="0" applyProtection="0"/>
    <xf numFmtId="0" fontId="100" fillId="46" borderId="0" applyNumberFormat="0" applyBorder="0" applyAlignment="0" applyProtection="0"/>
    <xf numFmtId="0" fontId="100" fillId="53"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48"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100" fillId="39"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45"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33" fillId="54" borderId="0" applyNumberFormat="0" applyBorder="0" applyAlignment="0" applyProtection="0"/>
    <xf numFmtId="0" fontId="100" fillId="45" borderId="0" applyNumberFormat="0" applyBorder="0" applyAlignment="0" applyProtection="0"/>
    <xf numFmtId="0" fontId="100" fillId="54" borderId="0" applyNumberFormat="0" applyBorder="0" applyAlignment="0" applyProtection="0"/>
    <xf numFmtId="0" fontId="100" fillId="45"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33" fillId="51" borderId="0" applyNumberFormat="0" applyBorder="0" applyAlignment="0" applyProtection="0"/>
    <xf numFmtId="0" fontId="100" fillId="28"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100" fillId="28" borderId="0" applyNumberFormat="0" applyBorder="0" applyAlignment="0" applyProtection="0"/>
    <xf numFmtId="0" fontId="100" fillId="51"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33" fillId="55" borderId="0" applyNumberFormat="0" applyBorder="0" applyAlignment="0" applyProtection="0"/>
    <xf numFmtId="0" fontId="100" fillId="38" borderId="0" applyNumberFormat="0" applyBorder="0" applyAlignment="0" applyProtection="0"/>
    <xf numFmtId="0" fontId="100" fillId="55" borderId="0" applyNumberFormat="0" applyBorder="0" applyAlignment="0" applyProtection="0"/>
    <xf numFmtId="0" fontId="100" fillId="38"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33" fillId="57"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33" fillId="36" borderId="0" applyNumberFormat="0" applyBorder="0" applyAlignment="0" applyProtection="0"/>
    <xf numFmtId="0" fontId="100" fillId="51" borderId="0" applyNumberFormat="0" applyBorder="0" applyAlignment="0" applyProtection="0"/>
    <xf numFmtId="0" fontId="100" fillId="36" borderId="0" applyNumberFormat="0" applyBorder="0" applyAlignment="0" applyProtection="0"/>
    <xf numFmtId="0" fontId="100" fillId="51" borderId="0" applyNumberFormat="0" applyBorder="0" applyAlignment="0" applyProtection="0"/>
    <xf numFmtId="0" fontId="23" fillId="58" borderId="0" applyNumberFormat="0" applyBorder="0" applyAlignment="0" applyProtection="0"/>
    <xf numFmtId="0" fontId="23" fillId="58"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33" fillId="60"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61"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33" fillId="61" borderId="0" applyNumberFormat="0" applyBorder="0" applyAlignment="0" applyProtection="0"/>
    <xf numFmtId="0" fontId="100" fillId="53" borderId="0" applyNumberFormat="0" applyBorder="0" applyAlignment="0" applyProtection="0"/>
    <xf numFmtId="0" fontId="100" fillId="61" borderId="0" applyNumberFormat="0" applyBorder="0" applyAlignment="0" applyProtection="0"/>
    <xf numFmtId="0" fontId="100" fillId="53" borderId="0" applyNumberFormat="0" applyBorder="0" applyAlignment="0" applyProtection="0"/>
    <xf numFmtId="0" fontId="23" fillId="58" borderId="0" applyNumberFormat="0" applyBorder="0" applyAlignment="0" applyProtection="0"/>
    <xf numFmtId="0" fontId="23" fillId="58" borderId="0" applyNumberFormat="0" applyBorder="0" applyAlignment="0" applyProtection="0"/>
    <xf numFmtId="0" fontId="23" fillId="63" borderId="0" applyNumberFormat="0" applyBorder="0" applyAlignment="0" applyProtection="0"/>
    <xf numFmtId="0" fontId="23" fillId="63" borderId="0" applyNumberFormat="0" applyBorder="0" applyAlignment="0" applyProtection="0"/>
    <xf numFmtId="0" fontId="33" fillId="59"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100" fillId="62"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23" fillId="59" borderId="0" applyNumberFormat="0" applyBorder="0" applyAlignment="0" applyProtection="0"/>
    <xf numFmtId="0" fontId="23" fillId="59" borderId="0" applyNumberFormat="0" applyBorder="0" applyAlignment="0" applyProtection="0"/>
    <xf numFmtId="0" fontId="33" fillId="59"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33" fillId="5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100" fillId="6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33" fillId="54" borderId="0" applyNumberFormat="0" applyBorder="0" applyAlignment="0" applyProtection="0"/>
    <xf numFmtId="0" fontId="23" fillId="65" borderId="0" applyNumberFormat="0" applyBorder="0" applyAlignment="0" applyProtection="0"/>
    <xf numFmtId="0" fontId="23" fillId="65" borderId="0" applyNumberFormat="0" applyBorder="0" applyAlignment="0" applyProtection="0"/>
    <xf numFmtId="0" fontId="23" fillId="56" borderId="0" applyNumberFormat="0" applyBorder="0" applyAlignment="0" applyProtection="0"/>
    <xf numFmtId="0" fontId="23" fillId="56" borderId="0" applyNumberFormat="0" applyBorder="0" applyAlignment="0" applyProtection="0"/>
    <xf numFmtId="0" fontId="33" fillId="57"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100" fillId="25" borderId="0" applyNumberFormat="0" applyBorder="0" applyAlignment="0" applyProtection="0"/>
    <xf numFmtId="0" fontId="23" fillId="58" borderId="0" applyNumberFormat="0" applyBorder="0" applyAlignment="0" applyProtection="0"/>
    <xf numFmtId="0" fontId="23" fillId="58" borderId="0" applyNumberFormat="0" applyBorder="0" applyAlignment="0" applyProtection="0"/>
    <xf numFmtId="0" fontId="23" fillId="66" borderId="0" applyNumberFormat="0" applyBorder="0" applyAlignment="0" applyProtection="0"/>
    <xf numFmtId="0" fontId="23" fillId="66" borderId="0" applyNumberFormat="0" applyBorder="0" applyAlignment="0" applyProtection="0"/>
    <xf numFmtId="0" fontId="33" fillId="66"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67" borderId="0" applyNumberFormat="0" applyBorder="0" applyAlignment="0" applyProtection="0"/>
    <xf numFmtId="0" fontId="33" fillId="47" borderId="0" applyNumberFormat="0" applyBorder="0" applyAlignment="0" applyProtection="0"/>
    <xf numFmtId="0" fontId="33" fillId="47"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0" fontId="33" fillId="67" borderId="0" applyNumberFormat="0" applyBorder="0" applyAlignment="0" applyProtection="0"/>
    <xf numFmtId="0" fontId="100" fillId="53" borderId="0" applyNumberFormat="0" applyBorder="0" applyAlignment="0" applyProtection="0"/>
    <xf numFmtId="0" fontId="100" fillId="67" borderId="0" applyNumberFormat="0" applyBorder="0" applyAlignment="0" applyProtection="0"/>
    <xf numFmtId="0" fontId="100" fillId="53" borderId="0" applyNumberFormat="0" applyBorder="0" applyAlignment="0" applyProtection="0"/>
    <xf numFmtId="180" fontId="39" fillId="68" borderId="0" applyNumberFormat="0" applyFont="0" applyBorder="0" applyAlignment="0">
      <alignment horizontal="right"/>
    </xf>
    <xf numFmtId="181" fontId="30" fillId="68" borderId="10" applyFont="0">
      <alignment horizontal="right"/>
    </xf>
    <xf numFmtId="0" fontId="5" fillId="0" borderId="0" applyNumberFormat="0" applyFill="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79" fillId="37" borderId="0" applyNumberFormat="0" applyBorder="0" applyAlignment="0" applyProtection="0"/>
    <xf numFmtId="0" fontId="101"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0" fontId="101" fillId="3" borderId="0" applyNumberFormat="0" applyBorder="0" applyAlignment="0" applyProtection="0"/>
    <xf numFmtId="0" fontId="102" fillId="3" borderId="0" applyNumberFormat="0" applyBorder="0" applyAlignment="0" applyProtection="0"/>
    <xf numFmtId="169" fontId="5" fillId="0" borderId="0" applyNumberFormat="0" applyFont="0" applyAlignment="0"/>
    <xf numFmtId="0" fontId="85" fillId="0" borderId="0" applyNumberFormat="0" applyFill="0" applyBorder="0" applyAlignment="0" applyProtection="0"/>
    <xf numFmtId="2" fontId="5" fillId="69" borderId="0" applyNumberFormat="0" applyFont="0" applyBorder="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103" fillId="33" borderId="4"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45" borderId="11" applyNumberFormat="0" applyAlignment="0" applyProtection="0"/>
    <xf numFmtId="0" fontId="40" fillId="35" borderId="11"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0" fontId="40" fillId="45" borderId="11" applyNumberFormat="0" applyAlignment="0" applyProtection="0"/>
    <xf numFmtId="0" fontId="103" fillId="33" borderId="4" applyNumberFormat="0" applyAlignment="0" applyProtection="0"/>
    <xf numFmtId="0" fontId="104" fillId="33" borderId="4" applyNumberFormat="0" applyAlignment="0" applyProtection="0"/>
    <xf numFmtId="0" fontId="103" fillId="33" borderId="4" applyNumberFormat="0" applyAlignment="0" applyProtection="0"/>
    <xf numFmtId="37" fontId="26" fillId="0" borderId="0"/>
    <xf numFmtId="182" fontId="20" fillId="0" borderId="0"/>
    <xf numFmtId="182" fontId="20" fillId="0" borderId="0"/>
    <xf numFmtId="182" fontId="20" fillId="0" borderId="0"/>
    <xf numFmtId="182" fontId="20" fillId="0" borderId="0"/>
    <xf numFmtId="182" fontId="20" fillId="0" borderId="0"/>
    <xf numFmtId="182" fontId="20" fillId="0" borderId="0"/>
    <xf numFmtId="183" fontId="20" fillId="0" borderId="0"/>
    <xf numFmtId="183" fontId="20" fillId="0" borderId="0"/>
    <xf numFmtId="183" fontId="20" fillId="0" borderId="0"/>
    <xf numFmtId="183" fontId="20" fillId="0" borderId="0"/>
    <xf numFmtId="183" fontId="20" fillId="0" borderId="0"/>
    <xf numFmtId="183" fontId="20" fillId="0" borderId="0"/>
    <xf numFmtId="0" fontId="18" fillId="0" borderId="0" applyAlignment="0"/>
    <xf numFmtId="0" fontId="18" fillId="0" borderId="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105" fillId="7" borderId="12"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3" applyNumberFormat="0" applyAlignment="0" applyProtection="0"/>
    <xf numFmtId="0" fontId="41" fillId="70" borderId="12"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41" fillId="70" borderId="13" applyNumberFormat="0" applyAlignment="0" applyProtection="0"/>
    <xf numFmtId="0" fontId="105" fillId="7" borderId="12" applyNumberFormat="0" applyAlignment="0" applyProtection="0"/>
    <xf numFmtId="0" fontId="105" fillId="70" borderId="13" applyNumberFormat="0" applyAlignment="0" applyProtection="0"/>
    <xf numFmtId="0" fontId="105" fillId="7" borderId="12" applyNumberFormat="0" applyAlignment="0" applyProtection="0"/>
    <xf numFmtId="0" fontId="20" fillId="0" borderId="0">
      <alignment horizontal="center" wrapText="1"/>
      <protection hidden="1"/>
    </xf>
    <xf numFmtId="0" fontId="11" fillId="71" borderId="0" applyAlignment="0"/>
    <xf numFmtId="0" fontId="11" fillId="71" borderId="0"/>
    <xf numFmtId="37" fontId="31" fillId="0" borderId="0"/>
    <xf numFmtId="170" fontId="31" fillId="0" borderId="0"/>
    <xf numFmtId="184" fontId="42" fillId="0" borderId="0" applyFont="0" applyFill="0" applyBorder="0" applyAlignment="0" applyProtection="0">
      <alignment horizontal="right"/>
    </xf>
    <xf numFmtId="165" fontId="20" fillId="0" borderId="0" applyFont="0" applyFill="0" applyBorder="0" applyAlignment="0" applyProtection="0"/>
    <xf numFmtId="165" fontId="20" fillId="0" borderId="0" applyFont="0" applyFill="0" applyBorder="0" applyAlignment="0" applyProtection="0"/>
    <xf numFmtId="209" fontId="42" fillId="0" borderId="0" applyFont="0" applyFill="0" applyBorder="0" applyAlignment="0" applyProtection="0">
      <alignment horizontal="right"/>
    </xf>
    <xf numFmtId="165" fontId="18"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20" fillId="0" borderId="0" applyFont="0" applyFill="0" applyBorder="0" applyAlignment="0" applyProtection="0"/>
    <xf numFmtId="0" fontId="43" fillId="72" borderId="0">
      <alignment horizontal="center" vertical="center" wrapText="1"/>
    </xf>
    <xf numFmtId="0" fontId="44" fillId="0" borderId="0" applyNumberFormat="0" applyFill="0" applyBorder="0">
      <alignment horizontal="right"/>
    </xf>
    <xf numFmtId="185" fontId="20" fillId="0" borderId="0" applyFill="0" applyBorder="0">
      <alignment horizontal="right"/>
      <protection locked="0"/>
    </xf>
    <xf numFmtId="171" fontId="31" fillId="0" borderId="0"/>
    <xf numFmtId="186" fontId="42" fillId="0" borderId="0" applyFont="0" applyFill="0" applyBorder="0" applyAlignment="0" applyProtection="0">
      <alignment horizontal="right"/>
    </xf>
    <xf numFmtId="44" fontId="20" fillId="0" borderId="0" applyFont="0" applyFill="0" applyBorder="0" applyAlignment="0" applyProtection="0"/>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44" fontId="18" fillId="0" borderId="0" applyFont="0" applyFill="0" applyBorder="0" applyAlignment="0" applyProtection="0"/>
    <xf numFmtId="44" fontId="18" fillId="0" borderId="0" applyFont="0" applyFill="0" applyBorder="0" applyAlignment="0" applyProtection="0"/>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187" fontId="42" fillId="0" borderId="0" applyFont="0" applyFill="0" applyBorder="0" applyAlignment="0" applyProtection="0">
      <alignment horizontal="right"/>
    </xf>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44" fontId="18" fillId="0" borderId="0" applyFont="0" applyFill="0" applyBorder="0" applyAlignment="0" applyProtection="0"/>
    <xf numFmtId="17" fontId="19" fillId="0" borderId="0" applyFill="0" applyBorder="0">
      <alignment horizontal="right"/>
    </xf>
    <xf numFmtId="188" fontId="42" fillId="0" borderId="0" applyFont="0" applyFill="0" applyBorder="0" applyAlignment="0" applyProtection="0"/>
    <xf numFmtId="7" fontId="20" fillId="0" borderId="0" applyFont="0" applyFill="0" applyBorder="0" applyAlignment="0"/>
    <xf numFmtId="189" fontId="42" fillId="0" borderId="14" applyNumberFormat="0" applyFont="0" applyFill="0" applyAlignment="0" applyProtection="0"/>
    <xf numFmtId="190" fontId="20" fillId="0" borderId="0" applyFont="0" applyFill="0" applyBorder="0" applyAlignment="0" applyProtection="0"/>
    <xf numFmtId="190" fontId="20" fillId="0" borderId="0" applyFont="0" applyFill="0" applyBorder="0" applyAlignment="0" applyProtection="0"/>
    <xf numFmtId="190" fontId="20" fillId="0" borderId="0" applyFont="0" applyFill="0" applyBorder="0" applyAlignment="0" applyProtection="0"/>
    <xf numFmtId="190" fontId="20" fillId="0" borderId="0" applyFont="0" applyFill="0" applyBorder="0" applyAlignment="0" applyProtection="0"/>
    <xf numFmtId="190" fontId="20" fillId="0" borderId="0" applyFont="0" applyFill="0" applyBorder="0" applyAlignment="0" applyProtection="0"/>
    <xf numFmtId="190" fontId="20" fillId="0" borderId="0" applyFont="0" applyFill="0" applyBorder="0" applyAlignment="0" applyProtection="0"/>
    <xf numFmtId="0" fontId="89" fillId="0" borderId="0" applyNumberFormat="0" applyFill="0" applyBorder="0" applyAlignment="0" applyProtection="0"/>
    <xf numFmtId="0" fontId="106" fillId="0" borderId="0" applyNumberFormat="0" applyFill="0" applyBorder="0" applyAlignment="0" applyProtection="0"/>
    <xf numFmtId="191" fontId="5" fillId="73" borderId="15" applyNumberFormat="0" applyFont="0" applyBorder="0" applyAlignment="0" applyProtection="0">
      <alignment horizontal="right"/>
    </xf>
    <xf numFmtId="207" fontId="86" fillId="0" borderId="0" applyFont="0" applyFill="0" applyBorder="0" applyAlignment="0" applyProtection="0"/>
    <xf numFmtId="0" fontId="45" fillId="0" borderId="0" applyFill="0" applyBorder="0" applyProtection="0">
      <alignment horizontal="left"/>
    </xf>
    <xf numFmtId="1" fontId="5" fillId="0" borderId="0" applyNumberFormat="0" applyBorder="0" applyAlignment="0" applyProtection="0"/>
    <xf numFmtId="192" fontId="46" fillId="0" borderId="0">
      <alignment vertical="center"/>
    </xf>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80" fillId="40" borderId="0" applyNumberFormat="0" applyBorder="0" applyAlignment="0" applyProtection="0"/>
    <xf numFmtId="0" fontId="107" fillId="2"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0" fontId="107" fillId="2" borderId="0" applyNumberFormat="0" applyBorder="0" applyAlignment="0" applyProtection="0"/>
    <xf numFmtId="0" fontId="107" fillId="40" borderId="0" applyNumberFormat="0" applyBorder="0" applyAlignment="0" applyProtection="0"/>
    <xf numFmtId="38" fontId="5" fillId="74" borderId="0" applyNumberFormat="0" applyBorder="0" applyAlignment="0" applyProtection="0"/>
    <xf numFmtId="49" fontId="47" fillId="0" borderId="0">
      <alignment horizontal="right"/>
    </xf>
    <xf numFmtId="49" fontId="47" fillId="0" borderId="0">
      <alignment horizontal="right"/>
    </xf>
    <xf numFmtId="49" fontId="47" fillId="0" borderId="0">
      <alignment horizontal="right"/>
    </xf>
    <xf numFmtId="49" fontId="47" fillId="0" borderId="0">
      <alignment horizontal="right"/>
    </xf>
    <xf numFmtId="49" fontId="48" fillId="0" borderId="0">
      <alignment horizontal="right"/>
    </xf>
    <xf numFmtId="192" fontId="49" fillId="0" borderId="0">
      <alignment vertical="center"/>
    </xf>
    <xf numFmtId="193" fontId="19" fillId="75" borderId="16" applyNumberFormat="0" applyFont="0" applyAlignment="0"/>
    <xf numFmtId="194" fontId="42" fillId="0" borderId="0" applyFont="0" applyFill="0" applyBorder="0" applyAlignment="0" applyProtection="0">
      <alignment horizontal="right"/>
    </xf>
    <xf numFmtId="0" fontId="50" fillId="0" borderId="0" applyProtection="0">
      <alignment horizontal="right"/>
    </xf>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90"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108" fillId="0" borderId="2" applyNumberFormat="0" applyFill="0" applyAlignment="0" applyProtection="0"/>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52" fillId="0" borderId="0" applyProtection="0">
      <alignment horizontal="left"/>
    </xf>
    <xf numFmtId="0" fontId="91"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2" fillId="0" borderId="0" applyProtection="0">
      <alignment horizontal="left"/>
    </xf>
    <xf numFmtId="0" fontId="108" fillId="0" borderId="2" applyNumberFormat="0" applyFill="0" applyAlignment="0" applyProtection="0"/>
    <xf numFmtId="0" fontId="87" fillId="0" borderId="19" applyNumberFormat="0" applyFill="0" applyAlignment="0" applyProtection="0"/>
    <xf numFmtId="0" fontId="108" fillId="0" borderId="2"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53" fillId="0" borderId="0" applyProtection="0">
      <alignment horizontal="left"/>
    </xf>
    <xf numFmtId="0" fontId="92"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3" fillId="0" borderId="0" applyProtection="0">
      <alignment horizontal="left"/>
    </xf>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92" fillId="0" borderId="0" applyNumberFormat="0" applyFill="0" applyBorder="0" applyAlignment="0" applyProtection="0"/>
    <xf numFmtId="0" fontId="61"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5" fillId="0" borderId="0"/>
    <xf numFmtId="174" fontId="26" fillId="0" borderId="0"/>
    <xf numFmtId="0" fontId="24" fillId="0" borderId="0" applyNumberFormat="0" applyFill="0" applyBorder="0" applyAlignment="0" applyProtection="0">
      <alignment vertical="top"/>
      <protection locked="0"/>
    </xf>
    <xf numFmtId="0" fontId="109" fillId="0" borderId="0" applyNumberFormat="0" applyFill="0" applyBorder="0" applyAlignment="0" applyProtection="0">
      <alignment vertical="top"/>
      <protection locked="0"/>
    </xf>
    <xf numFmtId="10" fontId="5" fillId="75" borderId="16" applyNumberFormat="0" applyBorder="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110" fillId="5" borderId="4" applyNumberFormat="0" applyAlignment="0" applyProtection="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56" fillId="0" borderId="0" applyNumberFormat="0" applyFill="0" applyBorder="0" applyAlignment="0"/>
    <xf numFmtId="0" fontId="82" fillId="38" borderId="11" applyNumberFormat="0" applyAlignment="0" applyProtection="0"/>
    <xf numFmtId="0" fontId="82" fillId="38" borderId="11"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6" fillId="0" borderId="0" applyNumberFormat="0" applyFill="0" applyBorder="0" applyAlignment="0"/>
    <xf numFmtId="0" fontId="110" fillId="5" borderId="4" applyNumberFormat="0" applyAlignment="0" applyProtection="0"/>
    <xf numFmtId="0" fontId="111" fillId="5" borderId="4" applyNumberFormat="0" applyAlignment="0" applyProtection="0"/>
    <xf numFmtId="0" fontId="110" fillId="5" borderId="4" applyNumberFormat="0" applyAlignment="0" applyProtection="0"/>
    <xf numFmtId="0" fontId="57" fillId="76" borderId="0" applyNumberFormat="0" applyFont="0" applyBorder="0" applyAlignment="0" applyProtection="0"/>
    <xf numFmtId="0" fontId="17" fillId="0" borderId="0" applyAlignment="0"/>
    <xf numFmtId="0" fontId="17" fillId="0" borderId="0"/>
    <xf numFmtId="0" fontId="17" fillId="0" borderId="0" applyAlignment="0"/>
    <xf numFmtId="173" fontId="20" fillId="0" borderId="0" applyFill="0" applyBorder="0">
      <alignment horizontal="right"/>
      <protection locked="0"/>
    </xf>
    <xf numFmtId="0" fontId="22" fillId="77" borderId="22">
      <alignment horizontal="left" vertical="center" wrapText="1"/>
    </xf>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112" fillId="0" borderId="6" applyNumberFormat="0" applyFill="0" applyAlignment="0" applyProtection="0"/>
    <xf numFmtId="0" fontId="83" fillId="0" borderId="23" applyNumberFormat="0" applyFill="0" applyAlignment="0" applyProtection="0"/>
    <xf numFmtId="0" fontId="58" fillId="0" borderId="0"/>
    <xf numFmtId="0" fontId="27" fillId="0" borderId="0" applyNumberFormat="0" applyFill="0" applyBorder="0" applyAlignment="0"/>
    <xf numFmtId="38" fontId="27" fillId="0" borderId="0" applyBorder="0"/>
    <xf numFmtId="0" fontId="21" fillId="78" borderId="0"/>
    <xf numFmtId="0" fontId="21" fillId="78" borderId="0"/>
    <xf numFmtId="195" fontId="42" fillId="0" borderId="0" applyFont="0" applyFill="0" applyBorder="0" applyAlignment="0" applyProtection="0">
      <alignment horizontal="right"/>
    </xf>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93"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113" fillId="4" borderId="0" applyNumberFormat="0" applyBorder="0" applyAlignment="0" applyProtection="0"/>
    <xf numFmtId="0" fontId="88" fillId="49" borderId="0" applyNumberFormat="0" applyBorder="0" applyAlignment="0" applyProtection="0"/>
    <xf numFmtId="0" fontId="113" fillId="4" borderId="0" applyNumberFormat="0" applyBorder="0" applyAlignment="0" applyProtection="0"/>
    <xf numFmtId="0" fontId="9" fillId="79" borderId="0" applyAlignment="0"/>
    <xf numFmtId="0" fontId="9" fillId="79" borderId="0"/>
    <xf numFmtId="0" fontId="8" fillId="80" borderId="0" applyAlignment="0"/>
    <xf numFmtId="0" fontId="8" fillId="80" borderId="0"/>
    <xf numFmtId="0" fontId="7" fillId="0" borderId="0" applyAlignment="0"/>
    <xf numFmtId="0" fontId="7" fillId="0" borderId="0"/>
    <xf numFmtId="172"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 fillId="0" borderId="0"/>
    <xf numFmtId="0" fontId="20" fillId="0" borderId="0"/>
    <xf numFmtId="0" fontId="20" fillId="0" borderId="0"/>
    <xf numFmtId="0" fontId="20" fillId="0" borderId="0"/>
    <xf numFmtId="0" fontId="20" fillId="0" borderId="0"/>
    <xf numFmtId="0" fontId="20" fillId="0" borderId="0"/>
    <xf numFmtId="0" fontId="4" fillId="0" borderId="0"/>
    <xf numFmtId="0" fontId="20" fillId="0" borderId="0"/>
    <xf numFmtId="0" fontId="99" fillId="0" borderId="0"/>
    <xf numFmtId="0" fontId="99" fillId="0" borderId="0"/>
    <xf numFmtId="0" fontId="99" fillId="0" borderId="0"/>
    <xf numFmtId="0" fontId="20" fillId="0" borderId="0"/>
    <xf numFmtId="0" fontId="99" fillId="0" borderId="0"/>
    <xf numFmtId="0" fontId="20" fillId="0" borderId="0"/>
    <xf numFmtId="0" fontId="4" fillId="0" borderId="0"/>
    <xf numFmtId="0" fontId="4" fillId="0" borderId="0"/>
    <xf numFmtId="0" fontId="4" fillId="0" borderId="0"/>
    <xf numFmtId="0" fontId="4" fillId="0" borderId="0"/>
    <xf numFmtId="0" fontId="4" fillId="0" borderId="0"/>
    <xf numFmtId="0" fontId="20" fillId="0" borderId="0"/>
    <xf numFmtId="0" fontId="20" fillId="0" borderId="0"/>
    <xf numFmtId="0" fontId="20" fillId="0" borderId="0"/>
    <xf numFmtId="0" fontId="20" fillId="0" borderId="0"/>
    <xf numFmtId="0" fontId="20" fillId="0" borderId="0"/>
    <xf numFmtId="0" fontId="20" fillId="0" borderId="0"/>
    <xf numFmtId="0" fontId="96" fillId="0" borderId="0"/>
    <xf numFmtId="0" fontId="9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 fontId="57" fillId="0" borderId="0" applyBorder="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0" fillId="41"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23" fillId="41" borderId="24"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8" borderId="8" applyNumberFormat="0" applyFont="0" applyAlignment="0" applyProtection="0"/>
    <xf numFmtId="0" fontId="23" fillId="8" borderId="24" applyNumberFormat="0" applyFont="0" applyAlignment="0" applyProtection="0"/>
    <xf numFmtId="0" fontId="23" fillId="8" borderId="8" applyNumberFormat="0" applyFont="0" applyAlignment="0" applyProtection="0"/>
    <xf numFmtId="0" fontId="23" fillId="41" borderId="24" applyNumberFormat="0" applyFont="0" applyAlignment="0" applyProtection="0"/>
    <xf numFmtId="0" fontId="59" fillId="0" borderId="25"/>
    <xf numFmtId="196" fontId="60" fillId="0" borderId="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84" fillId="35"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45" borderId="26"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37" fillId="0" borderId="0" applyNumberFormat="0" applyFill="0" applyBorder="0">
      <alignment horizontal="left"/>
    </xf>
    <xf numFmtId="1" fontId="62" fillId="0" borderId="0" applyProtection="0">
      <alignment horizontal="right" vertical="center"/>
    </xf>
    <xf numFmtId="166" fontId="31" fillId="0" borderId="0"/>
    <xf numFmtId="1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3"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97" fontId="57" fillId="0" borderId="0" applyFill="0" applyBorder="0">
      <alignment horizontal="right"/>
      <protection locked="0"/>
    </xf>
    <xf numFmtId="0" fontId="63" fillId="0" borderId="0"/>
    <xf numFmtId="198" fontId="20" fillId="0" borderId="0">
      <alignment horizontal="right"/>
      <protection locked="0"/>
    </xf>
    <xf numFmtId="167" fontId="57" fillId="61" borderId="27" applyNumberFormat="0" applyFont="0" applyBorder="0" applyAlignment="0" applyProtection="0">
      <alignment horizontal="center"/>
    </xf>
    <xf numFmtId="199" fontId="64" fillId="0" borderId="0" applyFill="0" applyBorder="0">
      <alignment horizontal="right"/>
      <protection hidden="1"/>
    </xf>
    <xf numFmtId="0" fontId="10" fillId="81" borderId="0" applyAlignment="0"/>
    <xf numFmtId="0" fontId="10" fillId="81" borderId="0"/>
    <xf numFmtId="0" fontId="65" fillId="72" borderId="16">
      <alignment horizontal="center" vertical="center" wrapText="1"/>
      <protection hidden="1"/>
    </xf>
    <xf numFmtId="1" fontId="63" fillId="82" borderId="0" applyNumberFormat="0" applyFont="0" applyBorder="0" applyAlignment="0">
      <alignment horizontal="left"/>
    </xf>
    <xf numFmtId="0" fontId="34" fillId="0" borderId="0" applyNumberFormat="0" applyFill="0" applyBorder="0" applyAlignment="0" applyProtection="0"/>
    <xf numFmtId="0" fontId="35" fillId="0" borderId="0">
      <alignment vertical="center"/>
    </xf>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208" fontId="20" fillId="0" borderId="0">
      <alignment horizontal="left" wrapText="1"/>
    </xf>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6" fillId="0" borderId="0" applyNumberFormat="0" applyFill="0" applyBorder="0" applyProtection="0"/>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6" fillId="0" borderId="0" applyNumberFormat="0" applyFill="0" applyBorder="0" applyProtection="0"/>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22" fillId="0" borderId="0" applyNumberFormat="0" applyFill="0" applyBorder="0" applyProtection="0">
      <alignment horizontal="left"/>
    </xf>
    <xf numFmtId="0" fontId="6" fillId="0" borderId="0" applyNumberFormat="0" applyFill="0" applyBorder="0" applyProtection="0"/>
    <xf numFmtId="0" fontId="10" fillId="81" borderId="0" applyNumberFormat="0" applyBorder="0" applyProtection="0"/>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200" fontId="5" fillId="0" borderId="0" applyFill="0" applyBorder="0" applyProtection="0">
      <alignment horizontal="right" vertical="top"/>
    </xf>
    <xf numFmtId="0" fontId="15" fillId="80" borderId="0" applyNumberFormat="0" applyBorder="0" applyProtection="0"/>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14" fontId="5" fillId="0" borderId="0" applyFill="0" applyBorder="0" applyProtection="0">
      <alignment horizontal="left" vertical="top"/>
    </xf>
    <xf numFmtId="0" fontId="12" fillId="0" borderId="0" applyNumberFormat="0" applyFill="0" applyBorder="0" applyProtection="0"/>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0" fontId="12" fillId="0" borderId="0" applyNumberFormat="0" applyFill="0" applyBorder="0" applyProtection="0"/>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201" fontId="5" fillId="0" borderId="0" applyFill="0" applyBorder="0" applyProtection="0">
      <alignment horizontal="left" vertical="top" wrapText="1"/>
    </xf>
    <xf numFmtId="0" fontId="12" fillId="0" borderId="0" applyNumberFormat="0" applyFill="0" applyBorder="0" applyProtection="0"/>
    <xf numFmtId="0" fontId="15"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66" fillId="0" borderId="0" applyNumberFormat="0" applyFill="0" applyBorder="0" applyProtection="0"/>
    <xf numFmtId="0" fontId="16" fillId="0" borderId="0" applyNumberFormat="0" applyFill="0" applyBorder="0" applyProtection="0"/>
    <xf numFmtId="0" fontId="15" fillId="0" borderId="0" applyNumberFormat="0" applyFill="0" applyBorder="0" applyProtection="0">
      <alignment wrapText="1"/>
    </xf>
    <xf numFmtId="0" fontId="36" fillId="0" borderId="0" applyNumberFormat="0" applyFill="0" applyBorder="0" applyProtection="0"/>
    <xf numFmtId="202" fontId="67" fillId="0" borderId="0" applyNumberFormat="0" applyFill="0" applyBorder="0" applyAlignment="0" applyProtection="0">
      <alignment horizontal="right" vertical="center" wrapText="1"/>
    </xf>
    <xf numFmtId="0" fontId="68" fillId="0" borderId="0" applyNumberFormat="0" applyFill="0" applyBorder="0" applyAlignment="0" applyProtection="0"/>
    <xf numFmtId="0" fontId="69" fillId="0" borderId="0" applyNumberFormat="0" applyFill="0" applyBorder="0" applyAlignment="0" applyProtection="0">
      <protection locked="0"/>
    </xf>
    <xf numFmtId="0" fontId="29" fillId="0" borderId="15" applyNumberFormat="0" applyFill="0" applyProtection="0">
      <alignment horizontal="right"/>
    </xf>
    <xf numFmtId="0" fontId="14" fillId="0" borderId="0" applyAlignment="0"/>
    <xf numFmtId="0" fontId="14" fillId="0" borderId="0"/>
    <xf numFmtId="0" fontId="13" fillId="0" borderId="0" applyAlignment="0"/>
    <xf numFmtId="0" fontId="13" fillId="0" borderId="0"/>
    <xf numFmtId="0" fontId="29" fillId="0" borderId="28" applyNumberFormat="0" applyProtection="0">
      <alignment horizontal="right"/>
    </xf>
    <xf numFmtId="0" fontId="70" fillId="0" borderId="0" applyBorder="0" applyProtection="0">
      <alignment vertical="center"/>
    </xf>
    <xf numFmtId="189" fontId="70" fillId="0" borderId="29" applyBorder="0" applyProtection="0">
      <alignment horizontal="right" vertical="center"/>
    </xf>
    <xf numFmtId="0" fontId="71" fillId="83" borderId="0" applyBorder="0" applyProtection="0">
      <alignment horizontal="centerContinuous" vertical="center"/>
    </xf>
    <xf numFmtId="0" fontId="71" fillId="78" borderId="29" applyBorder="0" applyProtection="0">
      <alignment horizontal="centerContinuous" vertical="center"/>
    </xf>
    <xf numFmtId="0" fontId="25" fillId="0" borderId="29" applyNumberFormat="0" applyFill="0" applyProtection="0"/>
    <xf numFmtId="0" fontId="72" fillId="0" borderId="0">
      <alignment vertical="center"/>
    </xf>
    <xf numFmtId="0" fontId="46" fillId="0" borderId="0">
      <alignment vertical="center"/>
    </xf>
    <xf numFmtId="0" fontId="72" fillId="0" borderId="0">
      <alignment vertical="center"/>
    </xf>
    <xf numFmtId="0" fontId="49" fillId="0" borderId="0">
      <alignment vertical="center"/>
    </xf>
    <xf numFmtId="0" fontId="73" fillId="0" borderId="0" applyFill="0" applyBorder="0" applyProtection="0">
      <alignment horizontal="left"/>
    </xf>
    <xf numFmtId="0" fontId="45" fillId="0" borderId="30" applyFill="0" applyBorder="0" applyProtection="0">
      <alignment horizontal="left" vertical="top"/>
    </xf>
    <xf numFmtId="168" fontId="74" fillId="0" borderId="0" applyNumberFormat="0" applyFill="0" applyBorder="0">
      <alignment horizontal="left"/>
    </xf>
    <xf numFmtId="168" fontId="74" fillId="0" borderId="0" applyNumberFormat="0" applyFill="0" applyBorder="0">
      <alignment horizontal="right"/>
    </xf>
    <xf numFmtId="168" fontId="75" fillId="0" borderId="0" applyNumberFormat="0" applyFill="0" applyBorder="0">
      <alignment horizontal="right"/>
    </xf>
    <xf numFmtId="0" fontId="15" fillId="0" borderId="0" applyAlignment="0"/>
    <xf numFmtId="0" fontId="15" fillId="0" borderId="0">
      <alignment vertical="top"/>
    </xf>
    <xf numFmtId="0" fontId="15" fillId="0" borderId="0"/>
    <xf numFmtId="0" fontId="16" fillId="0" borderId="0" applyAlignment="0"/>
    <xf numFmtId="0" fontId="16" fillId="0" borderId="0"/>
    <xf numFmtId="0" fontId="12" fillId="0" borderId="0" applyAlignment="0"/>
    <xf numFmtId="0" fontId="12" fillId="0" borderId="0">
      <alignment vertical="top"/>
    </xf>
    <xf numFmtId="0" fontId="12" fillId="0" borderId="0"/>
    <xf numFmtId="40" fontId="25" fillId="0" borderId="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94" fillId="0" borderId="0" applyNumberFormat="0" applyFill="0" applyBorder="0" applyAlignment="0" applyProtection="0"/>
    <xf numFmtId="0" fontId="97"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84" borderId="0" applyNumberFormat="0" applyBorder="0" applyProtection="0">
      <alignment horizontal="left" vertical="center"/>
    </xf>
    <xf numFmtId="0" fontId="78" fillId="1" borderId="0" applyNumberFormat="0" applyBorder="0" applyProtection="0">
      <alignment horizontal="left" vertical="center"/>
    </xf>
    <xf numFmtId="0" fontId="6" fillId="0" borderId="0" applyAlignment="0"/>
    <xf numFmtId="0" fontId="6" fillId="0" borderId="0">
      <alignment vertical="top"/>
    </xf>
    <xf numFmtId="0" fontId="6" fillId="0" borderId="0"/>
    <xf numFmtId="0" fontId="20" fillId="0" borderId="0" applyBorder="0"/>
    <xf numFmtId="0" fontId="15" fillId="0" borderId="0" applyAlignment="0">
      <alignment wrapText="1"/>
    </xf>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37" fontId="26" fillId="0" borderId="31"/>
    <xf numFmtId="37" fontId="26" fillId="0" borderId="31"/>
    <xf numFmtId="37" fontId="26" fillId="0" borderId="31"/>
    <xf numFmtId="37" fontId="26" fillId="0" borderId="31"/>
    <xf numFmtId="37" fontId="26" fillId="0" borderId="31"/>
    <xf numFmtId="37" fontId="26" fillId="0" borderId="31"/>
    <xf numFmtId="37" fontId="26" fillId="0" borderId="31"/>
    <xf numFmtId="0" fontId="114" fillId="0" borderId="32" applyNumberFormat="0" applyFill="0" applyAlignment="0" applyProtection="0"/>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37" fontId="26" fillId="0" borderId="31"/>
    <xf numFmtId="37" fontId="26" fillId="0" borderId="31"/>
    <xf numFmtId="37" fontId="26" fillId="0" borderId="31"/>
    <xf numFmtId="37" fontId="26" fillId="0" borderId="31"/>
    <xf numFmtId="0" fontId="15" fillId="0" borderId="0">
      <alignment wrapText="1"/>
    </xf>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37" fontId="26" fillId="0" borderId="31"/>
    <xf numFmtId="0" fontId="114" fillId="0" borderId="32" applyNumberFormat="0" applyFill="0" applyAlignment="0" applyProtection="0"/>
    <xf numFmtId="0" fontId="114" fillId="0" borderId="33" applyNumberFormat="0" applyFill="0" applyAlignment="0" applyProtection="0"/>
    <xf numFmtId="0" fontId="114" fillId="0" borderId="32" applyNumberFormat="0" applyFill="0" applyAlignment="0" applyProtection="0"/>
    <xf numFmtId="0" fontId="95" fillId="0" borderId="0" applyNumberFormat="0" applyFill="0" applyBorder="0" applyAlignment="0" applyProtection="0"/>
    <xf numFmtId="0" fontId="115" fillId="0" borderId="0" applyNumberFormat="0" applyFill="0" applyBorder="0" applyAlignment="0" applyProtection="0"/>
    <xf numFmtId="1" fontId="28" fillId="0" borderId="10" applyFill="0" applyProtection="0">
      <alignment horizontal="right"/>
    </xf>
    <xf numFmtId="203" fontId="20" fillId="0" borderId="0"/>
    <xf numFmtId="203" fontId="20" fillId="0" borderId="0"/>
    <xf numFmtId="203" fontId="20" fillId="0" borderId="0"/>
    <xf numFmtId="203" fontId="20" fillId="0" borderId="0"/>
    <xf numFmtId="203" fontId="20" fillId="0" borderId="0"/>
    <xf numFmtId="203" fontId="20" fillId="0" borderId="0"/>
    <xf numFmtId="0" fontId="116" fillId="0" borderId="0" applyNumberFormat="0" applyFill="0" applyBorder="0" applyAlignment="0" applyProtection="0"/>
    <xf numFmtId="0" fontId="117" fillId="0" borderId="1" applyNumberFormat="0" applyFill="0" applyAlignment="0" applyProtection="0"/>
    <xf numFmtId="0" fontId="118" fillId="0" borderId="2" applyNumberFormat="0" applyFill="0" applyAlignment="0" applyProtection="0"/>
    <xf numFmtId="0" fontId="119" fillId="0" borderId="3" applyNumberFormat="0" applyFill="0" applyAlignment="0" applyProtection="0"/>
    <xf numFmtId="0" fontId="119" fillId="0" borderId="0" applyNumberFormat="0" applyFill="0" applyBorder="0" applyAlignment="0" applyProtection="0"/>
    <xf numFmtId="0" fontId="107" fillId="2" borderId="0" applyNumberFormat="0" applyBorder="0" applyAlignment="0" applyProtection="0"/>
    <xf numFmtId="0" fontId="101" fillId="3" borderId="0" applyNumberFormat="0" applyBorder="0" applyAlignment="0" applyProtection="0"/>
    <xf numFmtId="0" fontId="120" fillId="4" borderId="0" applyNumberFormat="0" applyBorder="0" applyAlignment="0" applyProtection="0"/>
    <xf numFmtId="0" fontId="121" fillId="5" borderId="4" applyNumberFormat="0" applyAlignment="0" applyProtection="0"/>
    <xf numFmtId="0" fontId="122" fillId="6" borderId="5" applyNumberFormat="0" applyAlignment="0" applyProtection="0"/>
    <xf numFmtId="0" fontId="103" fillId="6" borderId="4" applyNumberFormat="0" applyAlignment="0" applyProtection="0"/>
    <xf numFmtId="0" fontId="112" fillId="0" borderId="6" applyNumberFormat="0" applyFill="0" applyAlignment="0" applyProtection="0"/>
    <xf numFmtId="0" fontId="105" fillId="7" borderId="7" applyNumberFormat="0" applyAlignment="0" applyProtection="0"/>
    <xf numFmtId="0" fontId="115" fillId="0" borderId="0" applyNumberFormat="0" applyFill="0" applyBorder="0" applyAlignment="0" applyProtection="0"/>
    <xf numFmtId="0" fontId="106" fillId="0" borderId="0" applyNumberFormat="0" applyFill="0" applyBorder="0" applyAlignment="0" applyProtection="0"/>
    <xf numFmtId="0" fontId="10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100" fillId="12" borderId="0" applyNumberFormat="0" applyBorder="0" applyAlignment="0" applyProtection="0"/>
    <xf numFmtId="0" fontId="10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100" fillId="16" borderId="0" applyNumberFormat="0" applyBorder="0" applyAlignment="0" applyProtection="0"/>
    <xf numFmtId="0" fontId="10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100" fillId="20" borderId="0" applyNumberFormat="0" applyBorder="0" applyAlignment="0" applyProtection="0"/>
    <xf numFmtId="0" fontId="10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100" fillId="24" borderId="0" applyNumberFormat="0" applyBorder="0" applyAlignment="0" applyProtection="0"/>
    <xf numFmtId="0" fontId="10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100" fillId="28" borderId="0" applyNumberFormat="0" applyBorder="0" applyAlignment="0" applyProtection="0"/>
    <xf numFmtId="0" fontId="10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100" fillId="32" borderId="0" applyNumberFormat="0" applyBorder="0" applyAlignment="0" applyProtection="0"/>
    <xf numFmtId="0" fontId="4" fillId="0" borderId="0"/>
    <xf numFmtId="0" fontId="4" fillId="8" borderId="8" applyNumberFormat="0" applyFont="0" applyAlignment="0" applyProtection="0"/>
    <xf numFmtId="0" fontId="114" fillId="0" borderId="9" applyNumberFormat="0" applyFill="0" applyAlignment="0" applyProtection="0"/>
    <xf numFmtId="0" fontId="41" fillId="85" borderId="0"/>
    <xf numFmtId="0" fontId="8" fillId="85" borderId="39">
      <alignment horizontal="right"/>
    </xf>
    <xf numFmtId="0" fontId="26"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124" fillId="0" borderId="0"/>
    <xf numFmtId="37" fontId="20" fillId="0" borderId="0" applyNumberFormat="0" applyFill="0" applyBorder="0" applyAlignment="0" applyProtection="0"/>
    <xf numFmtId="0" fontId="125" fillId="0" borderId="36" applyNumberFormat="0" applyFont="0" applyFill="0" applyAlignment="0" applyProtection="0"/>
    <xf numFmtId="0" fontId="126" fillId="0" borderId="0" applyNumberFormat="0" applyFill="0" applyBorder="0" applyAlignment="0" applyProtection="0"/>
    <xf numFmtId="0" fontId="5" fillId="0" borderId="0" applyNumberFormat="0" applyFill="0" applyBorder="0" applyAlignment="0" applyProtection="0"/>
    <xf numFmtId="0" fontId="127" fillId="0" borderId="0" applyNumberFormat="0" applyFill="0" applyBorder="0" applyAlignment="0" applyProtection="0"/>
    <xf numFmtId="0" fontId="5" fillId="0" borderId="0" applyNumberFormat="0" applyFill="0" applyBorder="0" applyAlignment="0" applyProtection="0"/>
    <xf numFmtId="0" fontId="128" fillId="0" borderId="40" applyNumberFormat="0" applyFill="0" applyBorder="0" applyAlignment="0" applyProtection="0">
      <alignment horizontal="center"/>
    </xf>
    <xf numFmtId="8" fontId="129" fillId="0" borderId="41">
      <protection locked="0"/>
    </xf>
    <xf numFmtId="0" fontId="42" fillId="0" borderId="0" applyNumberFormat="0">
      <alignment horizontal="right"/>
    </xf>
    <xf numFmtId="188" fontId="125" fillId="0" borderId="0" applyFont="0" applyFill="0" applyBorder="0" applyProtection="0">
      <alignment horizontal="right"/>
    </xf>
    <xf numFmtId="5" fontId="20" fillId="0" borderId="37" applyFont="0" applyFill="0" applyBorder="0" applyAlignment="0" applyProtection="0"/>
    <xf numFmtId="207" fontId="20" fillId="0" borderId="0" applyFont="0" applyFill="0" applyBorder="0" applyAlignment="0" applyProtection="0"/>
    <xf numFmtId="37" fontId="20" fillId="0" borderId="0"/>
    <xf numFmtId="7" fontId="20" fillId="0" borderId="0" applyFont="0" applyFill="0" applyBorder="0" applyAlignment="0" applyProtection="0"/>
    <xf numFmtId="39" fontId="20" fillId="0" borderId="0" applyFont="0" applyFill="0" applyBorder="0" applyAlignment="0" applyProtection="0"/>
    <xf numFmtId="37" fontId="130" fillId="0" borderId="0" applyNumberFormat="0" applyFill="0" applyBorder="0" applyAlignment="0" applyProtection="0"/>
    <xf numFmtId="0" fontId="47" fillId="0" borderId="0" applyNumberFormat="0" applyFill="0" applyBorder="0" applyAlignment="0" applyProtection="0"/>
    <xf numFmtId="0" fontId="131" fillId="0" borderId="0">
      <alignment horizontal="center"/>
    </xf>
    <xf numFmtId="0" fontId="131" fillId="0" borderId="0">
      <alignment horizontal="center"/>
    </xf>
    <xf numFmtId="0" fontId="5" fillId="0" borderId="0" applyNumberFormat="0" applyFill="0" applyBorder="0" applyAlignment="0" applyProtection="0"/>
    <xf numFmtId="0" fontId="19" fillId="0" borderId="0" applyNumberFormat="0" applyFill="0" applyBorder="0" applyAlignment="0" applyProtection="0"/>
    <xf numFmtId="0" fontId="5" fillId="0" borderId="0" applyNumberFormat="0" applyFill="0" applyBorder="0" applyAlignment="0" applyProtection="0"/>
    <xf numFmtId="0" fontId="132" fillId="0" borderId="0"/>
    <xf numFmtId="37" fontId="20" fillId="0" borderId="0" applyFont="0" applyFill="0" applyBorder="0" applyAlignment="0" applyProtection="0"/>
    <xf numFmtId="210" fontId="20" fillId="0" borderId="0" applyFont="0" applyFill="0" applyBorder="0" applyAlignment="0" applyProtection="0"/>
    <xf numFmtId="205" fontId="20" fillId="0" borderId="0" applyFont="0" applyFill="0" applyBorder="0" applyAlignment="0" applyProtection="0"/>
    <xf numFmtId="0" fontId="26" fillId="0" borderId="0"/>
    <xf numFmtId="0" fontId="20" fillId="0" borderId="0" applyNumberFormat="0" applyFont="0" applyFill="0" applyBorder="0" applyAlignment="0" applyProtection="0"/>
    <xf numFmtId="166" fontId="20" fillId="0" borderId="0" applyFont="0" applyFill="0" applyBorder="0" applyAlignment="0" applyProtection="0"/>
    <xf numFmtId="0" fontId="5" fillId="0" borderId="0" applyNumberFormat="0" applyFill="0" applyBorder="0" applyAlignment="0" applyProtection="0"/>
    <xf numFmtId="0" fontId="19" fillId="0" borderId="0" applyNumberFormat="0" applyFill="0" applyBorder="0" applyAlignment="0" applyProtection="0"/>
    <xf numFmtId="0" fontId="127" fillId="0" borderId="0" applyNumberFormat="0" applyFill="0" applyBorder="0" applyAlignment="0" applyProtection="0"/>
    <xf numFmtId="0" fontId="19" fillId="0" borderId="0" applyNumberFormat="0" applyFill="0" applyBorder="0" applyAlignment="0" applyProtection="0"/>
    <xf numFmtId="0" fontId="133" fillId="0" borderId="0" applyNumberFormat="0" applyFill="0" applyBorder="0" applyAlignment="0" applyProtection="0"/>
    <xf numFmtId="0" fontId="5" fillId="0" borderId="0" applyNumberFormat="0" applyFill="0" applyBorder="0" applyAlignment="0" applyProtection="0"/>
    <xf numFmtId="211" fontId="20" fillId="0" borderId="16" applyFont="0" applyFill="0" applyBorder="0" applyAlignment="0" applyProtection="0"/>
    <xf numFmtId="169" fontId="20" fillId="0" borderId="16" applyFont="0" applyFill="0" applyBorder="0" applyAlignment="0" applyProtection="0"/>
    <xf numFmtId="0" fontId="134" fillId="0" borderId="0"/>
    <xf numFmtId="212" fontId="20" fillId="0" borderId="0" applyFont="0" applyFill="0" applyBorder="0" applyAlignment="0" applyProtection="0">
      <alignment horizontal="right"/>
    </xf>
    <xf numFmtId="213" fontId="20" fillId="0" borderId="0" applyFont="0" applyFill="0" applyBorder="0" applyAlignment="0" applyProtection="0"/>
    <xf numFmtId="214" fontId="20" fillId="0" borderId="0" applyFont="0" applyFill="0" applyBorder="0" applyAlignment="0" applyProtection="0"/>
    <xf numFmtId="0" fontId="26" fillId="0" borderId="0">
      <alignment vertical="top"/>
    </xf>
    <xf numFmtId="0" fontId="26" fillId="0" borderId="0">
      <alignment vertical="top"/>
    </xf>
    <xf numFmtId="0" fontId="26" fillId="0" borderId="0">
      <alignment vertical="top"/>
    </xf>
    <xf numFmtId="166" fontId="26" fillId="0" borderId="0">
      <alignment vertical="top"/>
    </xf>
    <xf numFmtId="166" fontId="26" fillId="0" borderId="0">
      <alignment vertical="top"/>
    </xf>
    <xf numFmtId="0" fontId="98" fillId="0" borderId="0" applyFill="0" applyBorder="0" applyProtection="0">
      <alignment horizontal="center" vertical="center"/>
    </xf>
    <xf numFmtId="0" fontId="22" fillId="0" borderId="0" applyFill="0" applyBorder="0" applyProtection="0">
      <alignment horizontal="left"/>
    </xf>
    <xf numFmtId="0" fontId="26" fillId="0" borderId="0">
      <alignment horizontal="center"/>
    </xf>
    <xf numFmtId="0" fontId="55"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98" fillId="0" borderId="0" applyNumberFormat="0" applyFill="0" applyBorder="0" applyAlignment="0" applyProtection="0"/>
    <xf numFmtId="215" fontId="20" fillId="0" borderId="0" applyFont="0" applyFill="0" applyBorder="0" applyAlignment="0" applyProtection="0"/>
    <xf numFmtId="0" fontId="133" fillId="86" borderId="42" applyNumberFormat="0" applyFont="0" applyBorder="0" applyAlignment="0" applyProtection="0">
      <alignment horizontal="right"/>
    </xf>
    <xf numFmtId="44" fontId="20" fillId="0" borderId="0" applyFont="0" applyFill="0" applyBorder="0" applyAlignment="0" applyProtection="0"/>
    <xf numFmtId="0" fontId="20" fillId="0" borderId="0"/>
    <xf numFmtId="0" fontId="4" fillId="0" borderId="0"/>
    <xf numFmtId="165" fontId="4"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165" fontId="4" fillId="0" borderId="0" applyFont="0" applyFill="0" applyBorder="0" applyAlignment="0" applyProtection="0"/>
    <xf numFmtId="0" fontId="4" fillId="8" borderId="8" applyNumberFormat="0" applyFont="0" applyAlignment="0" applyProtection="0"/>
    <xf numFmtId="0" fontId="20" fillId="0" borderId="0"/>
    <xf numFmtId="0" fontId="4" fillId="11" borderId="0" applyNumberFormat="0" applyBorder="0" applyAlignment="0" applyProtection="0"/>
    <xf numFmtId="0" fontId="100" fillId="9" borderId="0" applyNumberFormat="0" applyBorder="0" applyAlignment="0" applyProtection="0"/>
    <xf numFmtId="0" fontId="4" fillId="15" borderId="0" applyNumberFormat="0" applyBorder="0" applyAlignment="0" applyProtection="0"/>
    <xf numFmtId="0" fontId="100" fillId="17" borderId="0" applyNumberFormat="0" applyBorder="0" applyAlignment="0" applyProtection="0"/>
    <xf numFmtId="216" fontId="20" fillId="0" borderId="0" applyFont="0" applyFill="0" applyBorder="0" applyAlignment="0" applyProtection="0"/>
    <xf numFmtId="0" fontId="4" fillId="31" borderId="0" applyNumberFormat="0" applyBorder="0" applyAlignment="0" applyProtection="0"/>
    <xf numFmtId="0" fontId="4" fillId="19" borderId="0" applyNumberFormat="0" applyBorder="0" applyAlignment="0" applyProtection="0"/>
    <xf numFmtId="0" fontId="120" fillId="4" borderId="0" applyNumberFormat="0" applyBorder="0" applyAlignment="0" applyProtection="0"/>
    <xf numFmtId="0" fontId="4" fillId="8" borderId="8" applyNumberFormat="0" applyFont="0" applyAlignment="0" applyProtection="0"/>
    <xf numFmtId="0" fontId="119" fillId="0" borderId="3" applyNumberFormat="0" applyFill="0" applyAlignment="0" applyProtection="0"/>
    <xf numFmtId="0" fontId="100" fillId="13" borderId="0" applyNumberFormat="0" applyBorder="0" applyAlignment="0" applyProtection="0"/>
    <xf numFmtId="0" fontId="117" fillId="0" borderId="1" applyNumberFormat="0" applyFill="0" applyAlignment="0" applyProtection="0"/>
    <xf numFmtId="0" fontId="4" fillId="0" borderId="0"/>
    <xf numFmtId="0" fontId="100" fillId="25" borderId="0" applyNumberFormat="0" applyBorder="0" applyAlignment="0" applyProtection="0"/>
    <xf numFmtId="0" fontId="100" fillId="29" borderId="0" applyNumberFormat="0" applyBorder="0" applyAlignment="0" applyProtection="0"/>
    <xf numFmtId="0" fontId="4" fillId="23" borderId="0" applyNumberFormat="0" applyBorder="0" applyAlignment="0" applyProtection="0"/>
    <xf numFmtId="0" fontId="100" fillId="21" borderId="0" applyNumberFormat="0" applyBorder="0" applyAlignment="0" applyProtection="0"/>
    <xf numFmtId="0" fontId="4" fillId="27" borderId="0" applyNumberFormat="0" applyBorder="0" applyAlignment="0" applyProtection="0"/>
    <xf numFmtId="0" fontId="23" fillId="48"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40" borderId="0" applyNumberFormat="0" applyBorder="0" applyAlignment="0" applyProtection="0"/>
    <xf numFmtId="0" fontId="33" fillId="51" borderId="0" applyNumberFormat="0" applyBorder="0" applyAlignment="0" applyProtection="0"/>
    <xf numFmtId="0" fontId="23" fillId="34" borderId="0" applyNumberFormat="0" applyBorder="0" applyAlignment="0" applyProtection="0"/>
    <xf numFmtId="0" fontId="23" fillId="37" borderId="0" applyNumberFormat="0" applyBorder="0" applyAlignment="0" applyProtection="0"/>
    <xf numFmtId="0" fontId="23" fillId="43" borderId="0" applyNumberFormat="0" applyBorder="0" applyAlignment="0" applyProtection="0"/>
    <xf numFmtId="0" fontId="23" fillId="42" borderId="0" applyNumberFormat="0" applyBorder="0" applyAlignment="0" applyProtection="0"/>
    <xf numFmtId="0" fontId="23" fillId="42" borderId="0" applyNumberFormat="0" applyBorder="0" applyAlignment="0" applyProtection="0"/>
    <xf numFmtId="0" fontId="23" fillId="38" borderId="0" applyNumberFormat="0" applyBorder="0" applyAlignment="0" applyProtection="0"/>
    <xf numFmtId="0" fontId="83" fillId="0" borderId="23" applyNumberFormat="0" applyFill="0" applyAlignment="0" applyProtection="0"/>
    <xf numFmtId="0" fontId="54" fillId="0" borderId="21" applyNumberFormat="0" applyFill="0" applyAlignment="0" applyProtection="0"/>
    <xf numFmtId="0" fontId="122" fillId="6" borderId="5" applyNumberFormat="0" applyAlignment="0" applyProtection="0"/>
    <xf numFmtId="0" fontId="20" fillId="41" borderId="24" applyNumberFormat="0" applyFont="0" applyAlignment="0" applyProtection="0"/>
    <xf numFmtId="0" fontId="79" fillId="37" borderId="0" applyNumberFormat="0" applyBorder="0" applyAlignment="0" applyProtection="0"/>
    <xf numFmtId="0" fontId="80" fillId="40" borderId="0" applyNumberFormat="0" applyBorder="0" applyAlignment="0" applyProtection="0"/>
    <xf numFmtId="0" fontId="137" fillId="38" borderId="11" applyNumberFormat="0" applyAlignment="0" applyProtection="0"/>
    <xf numFmtId="0" fontId="84" fillId="0" borderId="33" applyNumberFormat="0" applyFill="0" applyAlignment="0" applyProtection="0"/>
    <xf numFmtId="0" fontId="93" fillId="49" borderId="0" applyNumberFormat="0" applyBorder="0" applyAlignment="0" applyProtection="0"/>
    <xf numFmtId="0" fontId="100" fillId="32" borderId="0" applyNumberFormat="0" applyBorder="0" applyAlignment="0" applyProtection="0"/>
    <xf numFmtId="0" fontId="105" fillId="7" borderId="7" applyNumberFormat="0" applyAlignment="0" applyProtection="0"/>
    <xf numFmtId="0" fontId="119" fillId="0" borderId="0" applyNumberFormat="0" applyFill="0" applyBorder="0" applyAlignment="0" applyProtection="0"/>
    <xf numFmtId="0" fontId="100" fillId="16"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14" borderId="0" applyNumberFormat="0" applyBorder="0" applyAlignment="0" applyProtection="0"/>
    <xf numFmtId="0" fontId="100" fillId="12" borderId="0" applyNumberFormat="0" applyBorder="0" applyAlignment="0" applyProtection="0"/>
    <xf numFmtId="0" fontId="103" fillId="6" borderId="4" applyNumberFormat="0" applyAlignment="0" applyProtection="0"/>
    <xf numFmtId="0" fontId="100" fillId="24" borderId="0" applyNumberFormat="0" applyBorder="0" applyAlignment="0" applyProtection="0"/>
    <xf numFmtId="0" fontId="116" fillId="0" borderId="0" applyNumberFormat="0" applyFill="0" applyBorder="0" applyAlignment="0" applyProtection="0"/>
    <xf numFmtId="0" fontId="100" fillId="20" borderId="0" applyNumberFormat="0" applyBorder="0" applyAlignment="0" applyProtection="0"/>
    <xf numFmtId="0" fontId="121" fillId="5" borderId="4" applyNumberFormat="0" applyAlignment="0" applyProtection="0"/>
    <xf numFmtId="0" fontId="114" fillId="0" borderId="9" applyNumberFormat="0" applyFill="0" applyAlignment="0" applyProtection="0"/>
    <xf numFmtId="0" fontId="4" fillId="18" borderId="0" applyNumberFormat="0" applyBorder="0" applyAlignment="0" applyProtection="0"/>
    <xf numFmtId="0" fontId="4" fillId="10" borderId="0" applyNumberFormat="0" applyBorder="0" applyAlignment="0" applyProtection="0"/>
    <xf numFmtId="0" fontId="4" fillId="30" borderId="0" applyNumberFormat="0" applyBorder="0" applyAlignment="0" applyProtection="0"/>
    <xf numFmtId="0" fontId="118" fillId="0" borderId="2" applyNumberFormat="0" applyFill="0" applyAlignment="0" applyProtection="0"/>
    <xf numFmtId="0" fontId="116" fillId="0" borderId="0" applyNumberFormat="0" applyFill="0" applyBorder="0" applyAlignment="0" applyProtection="0"/>
    <xf numFmtId="0" fontId="128" fillId="0" borderId="40" applyNumberFormat="0" applyFill="0" applyBorder="0" applyAlignment="0" applyProtection="0">
      <alignment horizontal="center"/>
    </xf>
    <xf numFmtId="165" fontId="20" fillId="0" borderId="0" applyFont="0" applyFill="0" applyBorder="0" applyAlignment="0" applyProtection="0"/>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26" fillId="0" borderId="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8" borderId="8" applyNumberFormat="0" applyFont="0" applyAlignment="0" applyProtection="0"/>
    <xf numFmtId="0" fontId="20" fillId="0" borderId="0"/>
    <xf numFmtId="0" fontId="20" fillId="0" borderId="0"/>
    <xf numFmtId="0" fontId="4" fillId="0" borderId="0"/>
    <xf numFmtId="0" fontId="20" fillId="0" borderId="0"/>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4" fillId="0" borderId="0"/>
    <xf numFmtId="0" fontId="116" fillId="0" borderId="0" applyNumberFormat="0" applyFill="0" applyBorder="0" applyAlignment="0" applyProtection="0"/>
    <xf numFmtId="0" fontId="128" fillId="0" borderId="40" applyNumberFormat="0" applyFill="0" applyBorder="0" applyAlignment="0" applyProtection="0">
      <alignment horizontal="center"/>
    </xf>
    <xf numFmtId="0" fontId="4" fillId="0" borderId="0"/>
    <xf numFmtId="0" fontId="116"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4" fillId="0" borderId="0"/>
    <xf numFmtId="0" fontId="4" fillId="0" borderId="0"/>
    <xf numFmtId="0" fontId="128" fillId="0" borderId="40" applyNumberFormat="0" applyFill="0" applyBorder="0" applyAlignment="0" applyProtection="0">
      <alignment horizontal="center"/>
    </xf>
    <xf numFmtId="0" fontId="138" fillId="0" borderId="0" applyNumberFormat="0" applyFill="0" applyBorder="0" applyAlignment="0" applyProtection="0"/>
    <xf numFmtId="0" fontId="138" fillId="0" borderId="0" applyNumberFormat="0" applyFill="0" applyBorder="0" applyAlignment="0" applyProtection="0"/>
    <xf numFmtId="165" fontId="4" fillId="0" borderId="0" applyFont="0" applyFill="0" applyBorder="0" applyAlignment="0" applyProtection="0"/>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20" fillId="0" borderId="0"/>
    <xf numFmtId="0" fontId="20" fillId="0" borderId="0"/>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20" fillId="0" borderId="0"/>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20" fillId="0" borderId="0"/>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128" fillId="0" borderId="40" applyNumberFormat="0" applyFill="0" applyBorder="0" applyAlignment="0" applyProtection="0">
      <alignment horizontal="center"/>
    </xf>
    <xf numFmtId="0" fontId="23" fillId="0" borderId="0"/>
    <xf numFmtId="9" fontId="139" fillId="0" borderId="0">
      <alignment horizontal="right"/>
    </xf>
    <xf numFmtId="218" fontId="140" fillId="0" borderId="0">
      <alignment horizontal="right"/>
    </xf>
    <xf numFmtId="44" fontId="26" fillId="0" borderId="0" applyFont="0" applyFill="0" applyBorder="0" applyAlignment="0" applyProtection="0"/>
    <xf numFmtId="42" fontId="26" fillId="0" borderId="0" applyFont="0" applyFill="0" applyBorder="0" applyAlignment="0" applyProtection="0"/>
    <xf numFmtId="219" fontId="31" fillId="0" borderId="0" applyFont="0" applyFill="0" applyBorder="0" applyAlignment="0" applyProtection="0"/>
    <xf numFmtId="219" fontId="31" fillId="0" borderId="0" applyFont="0" applyFill="0" applyBorder="0" applyAlignment="0" applyProtection="0"/>
    <xf numFmtId="219" fontId="31" fillId="0" borderId="0" applyFont="0" applyFill="0" applyBorder="0" applyAlignment="0" applyProtection="0"/>
    <xf numFmtId="219" fontId="31" fillId="0" borderId="0" applyFont="0" applyFill="0" applyBorder="0" applyAlignment="0" applyProtection="0"/>
    <xf numFmtId="219" fontId="31" fillId="0" borderId="0" applyFont="0" applyFill="0" applyBorder="0" applyAlignment="0" applyProtection="0"/>
    <xf numFmtId="219" fontId="31" fillId="0" borderId="0" applyFont="0" applyFill="0" applyBorder="0" applyAlignment="0" applyProtection="0"/>
    <xf numFmtId="220" fontId="31" fillId="0" borderId="0" applyFont="0" applyFill="0" applyBorder="0" applyAlignment="0" applyProtection="0"/>
    <xf numFmtId="220" fontId="31" fillId="0" borderId="0" applyFont="0" applyFill="0" applyBorder="0" applyAlignment="0" applyProtection="0"/>
    <xf numFmtId="220" fontId="31" fillId="0" borderId="0" applyFont="0" applyFill="0" applyBorder="0" applyAlignment="0" applyProtection="0"/>
    <xf numFmtId="220" fontId="31" fillId="0" borderId="0" applyFont="0" applyFill="0" applyBorder="0" applyAlignment="0" applyProtection="0"/>
    <xf numFmtId="220" fontId="31" fillId="0" borderId="0" applyFont="0" applyFill="0" applyBorder="0" applyAlignment="0" applyProtection="0"/>
    <xf numFmtId="220" fontId="31" fillId="0" borderId="0" applyFont="0" applyFill="0" applyBorder="0" applyAlignment="0" applyProtection="0"/>
    <xf numFmtId="0" fontId="141" fillId="0" borderId="0"/>
    <xf numFmtId="0" fontId="26" fillId="0" borderId="0"/>
    <xf numFmtId="0" fontId="57" fillId="0" borderId="0"/>
    <xf numFmtId="0" fontId="57" fillId="0" borderId="0"/>
    <xf numFmtId="9" fontId="20" fillId="0" borderId="0"/>
    <xf numFmtId="9" fontId="20" fillId="0" borderId="0"/>
    <xf numFmtId="9" fontId="20" fillId="0" borderId="0"/>
    <xf numFmtId="9" fontId="20" fillId="0" borderId="0"/>
    <xf numFmtId="9" fontId="20" fillId="0" borderId="0"/>
    <xf numFmtId="9" fontId="20" fillId="0" borderId="0"/>
    <xf numFmtId="9" fontId="20" fillId="0" borderId="0"/>
    <xf numFmtId="9" fontId="20" fillId="0" borderId="0"/>
    <xf numFmtId="167" fontId="57" fillId="0" borderId="0"/>
    <xf numFmtId="167" fontId="57" fillId="0" borderId="0"/>
    <xf numFmtId="168" fontId="57" fillId="0" borderId="0"/>
    <xf numFmtId="168" fontId="57" fillId="0" borderId="0"/>
    <xf numFmtId="0" fontId="57" fillId="0" borderId="0"/>
    <xf numFmtId="2" fontId="57" fillId="0" borderId="0"/>
    <xf numFmtId="2" fontId="57" fillId="0" borderId="0"/>
    <xf numFmtId="10" fontId="57" fillId="0" borderId="0"/>
    <xf numFmtId="10" fontId="57" fillId="0" borderId="0"/>
    <xf numFmtId="166" fontId="20" fillId="0" borderId="0"/>
    <xf numFmtId="166" fontId="20" fillId="0" borderId="0"/>
    <xf numFmtId="166" fontId="20" fillId="0" borderId="0"/>
    <xf numFmtId="166" fontId="20" fillId="0" borderId="0"/>
    <xf numFmtId="166" fontId="20" fillId="0" borderId="0"/>
    <xf numFmtId="166" fontId="20" fillId="0" borderId="0"/>
    <xf numFmtId="166" fontId="20" fillId="0" borderId="0"/>
    <xf numFmtId="166" fontId="20" fillId="0" borderId="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5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55" borderId="0" applyNumberFormat="0" applyBorder="0" applyAlignment="0" applyProtection="0"/>
    <xf numFmtId="0" fontId="23" fillId="5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55" borderId="0" applyNumberFormat="0" applyBorder="0" applyAlignment="0" applyProtection="0"/>
    <xf numFmtId="0" fontId="23" fillId="5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4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3"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3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38" borderId="0" applyNumberFormat="0" applyBorder="0" applyAlignment="0" applyProtection="0"/>
    <xf numFmtId="0" fontId="23" fillId="3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38" borderId="0" applyNumberFormat="0" applyBorder="0" applyAlignment="0" applyProtection="0"/>
    <xf numFmtId="0" fontId="23" fillId="3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5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55" borderId="0" applyNumberFormat="0" applyBorder="0" applyAlignment="0" applyProtection="0"/>
    <xf numFmtId="0" fontId="23" fillId="5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55" borderId="0" applyNumberFormat="0" applyBorder="0" applyAlignment="0" applyProtection="0"/>
    <xf numFmtId="0" fontId="23" fillId="5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48"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70"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8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3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38" borderId="0" applyNumberFormat="0" applyBorder="0" applyAlignment="0" applyProtection="0"/>
    <xf numFmtId="0" fontId="23" fillId="3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38" borderId="0" applyNumberFormat="0" applyBorder="0" applyAlignment="0" applyProtection="0"/>
    <xf numFmtId="0" fontId="23" fillId="3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8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37" fontId="134" fillId="0" borderId="0">
      <alignment horizontal="center"/>
    </xf>
    <xf numFmtId="221" fontId="142" fillId="0" borderId="0" applyNumberFormat="0" applyFill="0" applyProtection="0"/>
    <xf numFmtId="166" fontId="143" fillId="74" borderId="0" applyFont="0" applyBorder="0"/>
    <xf numFmtId="0" fontId="27" fillId="90" borderId="0"/>
    <xf numFmtId="166" fontId="143" fillId="91" borderId="0" applyNumberFormat="0" applyFont="0" applyBorder="0" applyAlignment="0" applyProtection="0"/>
    <xf numFmtId="166" fontId="35" fillId="92" borderId="0" applyNumberFormat="0" applyFont="0" applyBorder="0" applyAlignment="0" applyProtection="0"/>
    <xf numFmtId="166" fontId="35" fillId="92" borderId="0" applyNumberFormat="0" applyFont="0" applyBorder="0" applyAlignment="0" applyProtection="0"/>
    <xf numFmtId="166" fontId="5" fillId="93" borderId="0" applyBorder="0"/>
    <xf numFmtId="166" fontId="20" fillId="0" borderId="43" applyNumberFormat="0" applyBorder="0" applyAlignment="0" applyProtection="0"/>
    <xf numFmtId="166" fontId="20" fillId="0" borderId="43" applyNumberFormat="0" applyBorder="0" applyAlignment="0" applyProtection="0"/>
    <xf numFmtId="166" fontId="20" fillId="0" borderId="43" applyNumberFormat="0" applyBorder="0" applyAlignment="0" applyProtection="0"/>
    <xf numFmtId="166" fontId="20" fillId="0" borderId="43" applyNumberFormat="0" applyBorder="0" applyAlignment="0" applyProtection="0"/>
    <xf numFmtId="166" fontId="20" fillId="0" borderId="43" applyNumberFormat="0" applyBorder="0" applyAlignment="0" applyProtection="0"/>
    <xf numFmtId="166" fontId="20" fillId="0" borderId="43" applyNumberFormat="0" applyBorder="0" applyAlignment="0" applyProtection="0"/>
    <xf numFmtId="204" fontId="139" fillId="0" borderId="0" applyBorder="0">
      <alignment horizontal="right"/>
    </xf>
    <xf numFmtId="204" fontId="5" fillId="0" borderId="43" applyBorder="0">
      <alignment horizontal="right"/>
    </xf>
    <xf numFmtId="168" fontId="144" fillId="0" borderId="0" applyBorder="0">
      <alignment horizontal="right"/>
    </xf>
    <xf numFmtId="168" fontId="145" fillId="0" borderId="43" applyBorder="0">
      <alignment horizontal="right"/>
    </xf>
    <xf numFmtId="166" fontId="146" fillId="0" borderId="0">
      <alignment horizontal="left" indent="1"/>
    </xf>
    <xf numFmtId="166" fontId="147" fillId="0" borderId="15" applyBorder="0"/>
    <xf numFmtId="166" fontId="143" fillId="94" borderId="43" applyNumberFormat="0" applyFont="0" applyBorder="0" applyAlignment="0" applyProtection="0"/>
    <xf numFmtId="204" fontId="98" fillId="95" borderId="15" applyBorder="0">
      <alignment horizontal="right"/>
    </xf>
    <xf numFmtId="204" fontId="98" fillId="0" borderId="15" applyBorder="0">
      <alignment horizontal="right"/>
    </xf>
    <xf numFmtId="166" fontId="148" fillId="0" borderId="43" applyNumberFormat="0" applyBorder="0" applyAlignment="0" applyProtection="0"/>
    <xf numFmtId="0" fontId="98" fillId="74" borderId="44" applyBorder="0">
      <alignment horizontal="center"/>
    </xf>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96"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89"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64"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55" borderId="0" applyNumberFormat="0" applyBorder="0" applyAlignment="0" applyProtection="0"/>
    <xf numFmtId="0" fontId="33" fillId="55"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0" fontId="33" fillId="38" borderId="0" applyNumberFormat="0" applyBorder="0" applyAlignment="0" applyProtection="0"/>
    <xf numFmtId="222" fontId="56" fillId="0" borderId="0" applyFont="0" applyFill="0" applyBorder="0" applyAlignment="0" applyProtection="0"/>
    <xf numFmtId="180" fontId="39" fillId="68" borderId="0" applyNumberFormat="0" applyFont="0" applyBorder="0" applyAlignment="0">
      <alignment horizontal="right"/>
    </xf>
    <xf numFmtId="181" fontId="30" fillId="68" borderId="10" applyFont="0">
      <alignment horizontal="right"/>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20" fillId="0" borderId="0" applyFill="0"/>
    <xf numFmtId="0" fontId="20" fillId="0" borderId="0" applyFill="0"/>
    <xf numFmtId="0" fontId="20" fillId="0" borderId="0" applyFill="0"/>
    <xf numFmtId="0" fontId="20" fillId="0" borderId="0" applyFill="0"/>
    <xf numFmtId="0" fontId="125" fillId="0" borderId="0">
      <alignment horizontal="center" wrapText="1"/>
      <protection locked="0"/>
    </xf>
    <xf numFmtId="0" fontId="125" fillId="0" borderId="0">
      <alignment horizontal="center" wrapText="1"/>
      <protection locked="0"/>
    </xf>
    <xf numFmtId="223" fontId="20" fillId="0" borderId="0" applyFont="0" applyFill="0" applyBorder="0" applyAlignment="0" applyProtection="0"/>
    <xf numFmtId="221" fontId="20" fillId="0" borderId="0" applyFont="0" applyFill="0" applyBorder="0" applyAlignment="0" applyProtection="0"/>
    <xf numFmtId="221" fontId="149" fillId="0" borderId="0" applyNumberFormat="0" applyFill="0" applyBorder="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0" fontId="150" fillId="37" borderId="0" applyNumberFormat="0" applyBorder="0" applyAlignment="0" applyProtection="0"/>
    <xf numFmtId="1" fontId="151" fillId="97" borderId="30" applyNumberFormat="0" applyBorder="0" applyAlignment="0">
      <alignment horizontal="center" vertical="top" wrapText="1"/>
      <protection hidden="1"/>
    </xf>
    <xf numFmtId="0" fontId="152" fillId="0" borderId="0" applyNumberFormat="0" applyFill="0" applyBorder="0" applyAlignment="0"/>
    <xf numFmtId="0" fontId="26" fillId="87" borderId="0"/>
    <xf numFmtId="0" fontId="153" fillId="0" borderId="40" applyNumberFormat="0" applyFill="0" applyAlignment="0" applyProtection="0"/>
    <xf numFmtId="221" fontId="154" fillId="0" borderId="0" applyNumberFormat="0" applyFill="0" applyBorder="0" applyAlignment="0" applyProtection="0"/>
    <xf numFmtId="224" fontId="31" fillId="0" borderId="0" applyFont="0" applyFill="0" applyBorder="0" applyAlignment="0" applyProtection="0"/>
    <xf numFmtId="224" fontId="31" fillId="0" borderId="0" applyFont="0" applyFill="0" applyBorder="0" applyAlignment="0" applyProtection="0"/>
    <xf numFmtId="224" fontId="31" fillId="0" borderId="0" applyFont="0" applyFill="0" applyBorder="0" applyAlignment="0" applyProtection="0"/>
    <xf numFmtId="224" fontId="31" fillId="0" borderId="0" applyFont="0" applyFill="0" applyBorder="0" applyAlignment="0" applyProtection="0"/>
    <xf numFmtId="224" fontId="31" fillId="0" borderId="0" applyFont="0" applyFill="0" applyBorder="0" applyAlignment="0" applyProtection="0"/>
    <xf numFmtId="224" fontId="31" fillId="0" borderId="0" applyFont="0" applyFill="0" applyBorder="0" applyAlignment="0" applyProtection="0"/>
    <xf numFmtId="38" fontId="22" fillId="0" borderId="0" applyFont="0" applyBorder="0" applyAlignment="0">
      <alignment horizontal="centerContinuous"/>
    </xf>
    <xf numFmtId="38" fontId="22" fillId="0" borderId="0" applyFont="0" applyBorder="0" applyAlignment="0">
      <alignment horizontal="centerContinuous"/>
    </xf>
    <xf numFmtId="38" fontId="22" fillId="0" borderId="0" applyFont="0" applyBorder="0" applyAlignment="0">
      <alignment horizontal="centerContinuous"/>
    </xf>
    <xf numFmtId="38" fontId="22" fillId="0" borderId="0" applyFont="0" applyBorder="0" applyAlignment="0">
      <alignment horizontal="centerContinuous"/>
    </xf>
    <xf numFmtId="38" fontId="22" fillId="0" borderId="0" applyFont="0" applyBorder="0" applyAlignment="0">
      <alignment horizontal="centerContinuous"/>
    </xf>
    <xf numFmtId="38" fontId="22" fillId="0" borderId="0" applyFont="0" applyBorder="0" applyAlignment="0">
      <alignment horizontal="centerContinuous"/>
    </xf>
    <xf numFmtId="0" fontId="155" fillId="0" borderId="0"/>
    <xf numFmtId="0" fontId="5" fillId="0" borderId="0"/>
    <xf numFmtId="2" fontId="5" fillId="69" borderId="0" applyNumberFormat="0" applyFont="0" applyBorder="0" applyAlignment="0" applyProtection="0"/>
    <xf numFmtId="2" fontId="5" fillId="69" borderId="0" applyNumberFormat="0" applyFont="0" applyBorder="0" applyAlignment="0" applyProtection="0"/>
    <xf numFmtId="2" fontId="5" fillId="69" borderId="0" applyNumberFormat="0" applyFont="0" applyBorder="0" applyAlignment="0" applyProtection="0"/>
    <xf numFmtId="2" fontId="5" fillId="69" borderId="0" applyNumberFormat="0" applyFont="0" applyBorder="0" applyAlignment="0" applyProtection="0"/>
    <xf numFmtId="2" fontId="5" fillId="69" borderId="0" applyNumberFormat="0" applyFont="0" applyBorder="0" applyAlignment="0" applyProtection="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6" fillId="45" borderId="11" applyNumberFormat="0" applyAlignment="0" applyProtection="0"/>
    <xf numFmtId="0" fontId="157"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40" fillId="0" borderId="0">
      <alignment horizontal="right"/>
    </xf>
    <xf numFmtId="1" fontId="159" fillId="0" borderId="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41" fillId="98" borderId="13" applyNumberFormat="0" applyAlignment="0" applyProtection="0"/>
    <xf numFmtId="0" fontId="158" fillId="0" borderId="0"/>
    <xf numFmtId="0" fontId="158" fillId="0" borderId="0"/>
    <xf numFmtId="0" fontId="158" fillId="0" borderId="0"/>
    <xf numFmtId="0" fontId="158" fillId="0" borderId="0"/>
    <xf numFmtId="0" fontId="19" fillId="0" borderId="0" applyNumberFormat="0" applyFill="0" applyBorder="0" applyProtection="0">
      <alignment wrapText="1"/>
    </xf>
    <xf numFmtId="0" fontId="19" fillId="0" borderId="0" applyNumberFormat="0" applyFill="0" applyBorder="0" applyProtection="0">
      <alignment wrapText="1"/>
    </xf>
    <xf numFmtId="0" fontId="19" fillId="0" borderId="0" applyNumberFormat="0" applyFill="0" applyBorder="0" applyProtection="0">
      <alignment wrapText="1"/>
    </xf>
    <xf numFmtId="0" fontId="19" fillId="0" borderId="0" applyNumberFormat="0" applyFill="0" applyBorder="0" applyProtection="0">
      <alignment wrapText="1"/>
    </xf>
    <xf numFmtId="0" fontId="19" fillId="0" borderId="0" applyNumberFormat="0" applyFill="0" applyBorder="0" applyProtection="0">
      <alignment wrapText="1"/>
    </xf>
    <xf numFmtId="0" fontId="19" fillId="0" borderId="0" applyNumberFormat="0" applyFill="0" applyBorder="0" applyProtection="0">
      <alignment wrapText="1"/>
    </xf>
    <xf numFmtId="0" fontId="55" fillId="0" borderId="0" applyNumberFormat="0" applyFill="0" applyBorder="0" applyProtection="0">
      <alignment wrapText="1"/>
    </xf>
    <xf numFmtId="0" fontId="55" fillId="0" borderId="0" applyNumberFormat="0" applyFill="0" applyBorder="0" applyProtection="0">
      <alignment wrapText="1"/>
    </xf>
    <xf numFmtId="0" fontId="19" fillId="0" borderId="0" applyNumberFormat="0" applyFill="0" applyBorder="0" applyProtection="0">
      <alignment horizontal="center" wrapText="1"/>
    </xf>
    <xf numFmtId="0" fontId="19" fillId="0" borderId="0" applyNumberFormat="0" applyFill="0" applyBorder="0" applyProtection="0">
      <alignment horizontal="center" wrapText="1"/>
    </xf>
    <xf numFmtId="0" fontId="19" fillId="0" borderId="0" applyNumberFormat="0" applyFill="0" applyBorder="0" applyProtection="0">
      <alignment horizontal="center" wrapText="1"/>
    </xf>
    <xf numFmtId="0" fontId="19" fillId="0" borderId="0" applyNumberFormat="0" applyFill="0" applyBorder="0" applyProtection="0">
      <alignment horizontal="center" wrapText="1"/>
    </xf>
    <xf numFmtId="0" fontId="19" fillId="0" borderId="0" applyNumberFormat="0" applyFill="0" applyBorder="0" applyProtection="0">
      <alignment horizontal="center" wrapText="1"/>
    </xf>
    <xf numFmtId="0" fontId="19" fillId="0" borderId="0" applyNumberFormat="0" applyFill="0" applyBorder="0" applyProtection="0">
      <alignment horizontal="center" wrapText="1"/>
    </xf>
    <xf numFmtId="167" fontId="19" fillId="0" borderId="0" applyBorder="0">
      <alignment horizontal="right"/>
    </xf>
    <xf numFmtId="167" fontId="19" fillId="0" borderId="36" applyAlignment="0">
      <alignment horizontal="right"/>
    </xf>
    <xf numFmtId="226" fontId="160" fillId="0" borderId="0"/>
    <xf numFmtId="226" fontId="160" fillId="0" borderId="0"/>
    <xf numFmtId="226" fontId="160" fillId="0" borderId="0"/>
    <xf numFmtId="226" fontId="160" fillId="0" borderId="0"/>
    <xf numFmtId="226" fontId="160" fillId="0" borderId="0"/>
    <xf numFmtId="226" fontId="160" fillId="0" borderId="0"/>
    <xf numFmtId="226" fontId="160" fillId="0" borderId="0"/>
    <xf numFmtId="226" fontId="160" fillId="0" borderId="0"/>
    <xf numFmtId="227" fontId="20" fillId="0" borderId="0" applyFont="0" applyFill="0" applyBorder="0" applyAlignment="0" applyProtection="0"/>
    <xf numFmtId="227" fontId="20" fillId="0" borderId="0" applyFont="0" applyFill="0" applyBorder="0" applyAlignment="0" applyProtection="0"/>
    <xf numFmtId="227" fontId="20" fillId="0" borderId="0" applyFont="0" applyFill="0" applyBorder="0" applyAlignment="0" applyProtection="0"/>
    <xf numFmtId="227" fontId="20" fillId="0" borderId="0" applyFont="0" applyFill="0" applyBorder="0" applyAlignment="0" applyProtection="0"/>
    <xf numFmtId="227" fontId="20" fillId="0" borderId="0" applyFont="0" applyFill="0" applyBorder="0" applyAlignment="0" applyProtection="0"/>
    <xf numFmtId="227" fontId="20" fillId="0" borderId="0" applyFont="0" applyFill="0" applyBorder="0" applyAlignment="0" applyProtection="0"/>
    <xf numFmtId="227" fontId="20" fillId="0" borderId="0" applyFont="0" applyFill="0" applyBorder="0" applyAlignment="0" applyProtection="0"/>
    <xf numFmtId="227" fontId="20" fillId="0" borderId="0" applyFont="0" applyFill="0" applyBorder="0" applyAlignment="0" applyProtection="0"/>
    <xf numFmtId="0" fontId="42" fillId="0" borderId="0" applyFont="0" applyFill="0" applyBorder="0" applyAlignment="0" applyProtection="0">
      <alignment horizontal="right"/>
    </xf>
    <xf numFmtId="0" fontId="42" fillId="0" borderId="0" applyFont="0" applyFill="0" applyBorder="0" applyAlignment="0" applyProtection="0"/>
    <xf numFmtId="0" fontId="42" fillId="0" borderId="0" applyFont="0" applyFill="0" applyBorder="0" applyAlignment="0" applyProtection="0">
      <alignment horizontal="right"/>
    </xf>
    <xf numFmtId="0" fontId="42" fillId="0" borderId="0" applyFont="0" applyFill="0" applyBorder="0" applyAlignment="0" applyProtection="0">
      <alignment horizontal="right"/>
    </xf>
    <xf numFmtId="40" fontId="57" fillId="0" borderId="0" applyFont="0" applyFill="0" applyBorder="0" applyAlignment="0" applyProtection="0"/>
    <xf numFmtId="40" fontId="57"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0" fontId="161" fillId="0" borderId="0"/>
    <xf numFmtId="0" fontId="161" fillId="0" borderId="0"/>
    <xf numFmtId="0" fontId="25" fillId="0" borderId="0" applyFill="0" applyBorder="0">
      <alignment horizontal="left"/>
    </xf>
    <xf numFmtId="0" fontId="25" fillId="0" borderId="0" applyFill="0" applyBorder="0">
      <alignment horizontal="left"/>
    </xf>
    <xf numFmtId="0" fontId="25" fillId="0" borderId="0" applyFill="0" applyBorder="0">
      <alignment horizontal="left"/>
    </xf>
    <xf numFmtId="0" fontId="25" fillId="0" borderId="0" applyFill="0" applyBorder="0">
      <alignment horizontal="left"/>
    </xf>
    <xf numFmtId="0" fontId="25" fillId="0" borderId="0" applyFill="0" applyBorder="0">
      <alignment horizontal="left"/>
    </xf>
    <xf numFmtId="0" fontId="25" fillId="0" borderId="0" applyFill="0" applyBorder="0">
      <alignment horizontal="left"/>
    </xf>
    <xf numFmtId="0" fontId="26" fillId="0" borderId="0">
      <alignment horizontal="center"/>
    </xf>
    <xf numFmtId="0" fontId="26" fillId="0" borderId="0">
      <alignment horizontal="center"/>
    </xf>
    <xf numFmtId="0" fontId="26" fillId="0" borderId="0">
      <alignment horizontal="center"/>
    </xf>
    <xf numFmtId="0" fontId="26" fillId="0" borderId="0">
      <alignment horizontal="center"/>
    </xf>
    <xf numFmtId="0" fontId="26" fillId="0" borderId="0">
      <alignment horizontal="center"/>
    </xf>
    <xf numFmtId="0" fontId="26" fillId="0" borderId="0">
      <alignment horizontal="center"/>
    </xf>
    <xf numFmtId="225" fontId="20"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225" fontId="20" fillId="0" borderId="0" applyFont="0" applyFill="0" applyBorder="0" applyAlignment="0" applyProtection="0"/>
    <xf numFmtId="0" fontId="42" fillId="0" borderId="0" applyFont="0" applyFill="0" applyBorder="0" applyAlignment="0" applyProtection="0">
      <alignment horizontal="right"/>
    </xf>
    <xf numFmtId="0" fontId="42" fillId="0" borderId="0" applyFont="0" applyFill="0" applyBorder="0" applyAlignment="0" applyProtection="0">
      <alignment horizontal="right"/>
    </xf>
    <xf numFmtId="0" fontId="42" fillId="0" borderId="0" applyFont="0" applyFill="0" applyBorder="0" applyAlignment="0" applyProtection="0">
      <alignment horizontal="right"/>
    </xf>
    <xf numFmtId="0" fontId="42" fillId="0" borderId="0" applyFont="0" applyFill="0" applyBorder="0" applyAlignment="0" applyProtection="0">
      <alignment horizontal="right"/>
    </xf>
    <xf numFmtId="0" fontId="42" fillId="0" borderId="0" applyFont="0" applyFill="0" applyBorder="0" applyAlignment="0" applyProtection="0">
      <alignment horizontal="right"/>
    </xf>
    <xf numFmtId="0" fontId="42" fillId="0" borderId="0" applyFont="0" applyFill="0" applyBorder="0" applyAlignment="0" applyProtection="0">
      <alignment horizontal="right"/>
    </xf>
    <xf numFmtId="228" fontId="20" fillId="0" borderId="0" applyFont="0" applyFill="0" applyBorder="0" applyAlignment="0" applyProtection="0"/>
    <xf numFmtId="228" fontId="20" fillId="0" borderId="0" applyFont="0" applyFill="0" applyBorder="0" applyAlignment="0" applyProtection="0"/>
    <xf numFmtId="228" fontId="20" fillId="0" borderId="0" applyFont="0" applyFill="0" applyBorder="0" applyAlignment="0" applyProtection="0"/>
    <xf numFmtId="228" fontId="20" fillId="0" borderId="0" applyFont="0" applyFill="0" applyBorder="0" applyAlignment="0" applyProtection="0"/>
    <xf numFmtId="228" fontId="20" fillId="0" borderId="0" applyFont="0" applyFill="0" applyBorder="0" applyAlignment="0" applyProtection="0"/>
    <xf numFmtId="228" fontId="20" fillId="0" borderId="0" applyFont="0" applyFill="0" applyBorder="0" applyAlignment="0" applyProtection="0"/>
    <xf numFmtId="228" fontId="20" fillId="0" borderId="0" applyFont="0" applyFill="0" applyBorder="0" applyAlignment="0" applyProtection="0"/>
    <xf numFmtId="228"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29" fontId="20" fillId="0" borderId="0" applyFont="0" applyFill="0" applyBorder="0" applyAlignment="0" applyProtection="0"/>
    <xf numFmtId="230" fontId="20" fillId="74" borderId="0" applyFont="0" applyBorder="0"/>
    <xf numFmtId="230" fontId="20" fillId="74" borderId="0" applyFont="0" applyBorder="0"/>
    <xf numFmtId="230" fontId="20" fillId="74" borderId="0" applyFont="0" applyBorder="0"/>
    <xf numFmtId="230" fontId="20" fillId="74" borderId="0" applyFont="0" applyBorder="0"/>
    <xf numFmtId="230" fontId="20" fillId="74" borderId="0" applyFont="0" applyBorder="0"/>
    <xf numFmtId="230" fontId="20" fillId="74" borderId="0" applyFont="0" applyBorder="0"/>
    <xf numFmtId="230" fontId="20" fillId="74" borderId="0" applyFont="0" applyBorder="0"/>
    <xf numFmtId="230" fontId="20" fillId="74" borderId="0" applyFont="0" applyBorder="0"/>
    <xf numFmtId="221" fontId="162" fillId="0" borderId="10" applyNumberFormat="0" applyFill="0" applyBorder="0" applyProtection="0"/>
    <xf numFmtId="231" fontId="31" fillId="0" borderId="0" applyFont="0" applyFill="0" applyBorder="0" applyAlignment="0" applyProtection="0"/>
    <xf numFmtId="231" fontId="31" fillId="0" borderId="0" applyFont="0" applyFill="0" applyBorder="0" applyAlignment="0" applyProtection="0"/>
    <xf numFmtId="231" fontId="31" fillId="0" borderId="0" applyFont="0" applyFill="0" applyBorder="0" applyAlignment="0" applyProtection="0"/>
    <xf numFmtId="231" fontId="31" fillId="0" borderId="0" applyFont="0" applyFill="0" applyBorder="0" applyAlignment="0" applyProtection="0"/>
    <xf numFmtId="231" fontId="31" fillId="0" borderId="0" applyFont="0" applyFill="0" applyBorder="0" applyAlignment="0" applyProtection="0"/>
    <xf numFmtId="231" fontId="31" fillId="0" borderId="0" applyFont="0" applyFill="0" applyBorder="0" applyAlignment="0" applyProtection="0"/>
    <xf numFmtId="14" fontId="20" fillId="0" borderId="0" applyFont="0" applyFill="0" applyBorder="0" applyAlignment="0" applyProtection="0"/>
    <xf numFmtId="14" fontId="20" fillId="0" borderId="0" applyFont="0" applyFill="0" applyBorder="0" applyAlignment="0" applyProtection="0"/>
    <xf numFmtId="14" fontId="20" fillId="0" borderId="0" applyFont="0" applyFill="0" applyBorder="0" applyAlignment="0" applyProtection="0"/>
    <xf numFmtId="14" fontId="20" fillId="0" borderId="0" applyFont="0" applyFill="0" applyBorder="0" applyAlignment="0" applyProtection="0"/>
    <xf numFmtId="14" fontId="20" fillId="0" borderId="0" applyFont="0" applyFill="0" applyBorder="0" applyAlignment="0" applyProtection="0"/>
    <xf numFmtId="14" fontId="20" fillId="0" borderId="0" applyFont="0" applyFill="0" applyBorder="0" applyAlignment="0" applyProtection="0"/>
    <xf numFmtId="14" fontId="20" fillId="0" borderId="0" applyFont="0" applyFill="0" applyBorder="0" applyAlignment="0" applyProtection="0"/>
    <xf numFmtId="0" fontId="42" fillId="0" borderId="0" applyFont="0" applyFill="0" applyBorder="0" applyAlignment="0" applyProtection="0"/>
    <xf numFmtId="232" fontId="22" fillId="0" borderId="35" applyFont="0" applyFill="0" applyBorder="0" applyAlignment="0" applyProtection="0">
      <alignment horizontal="right"/>
      <protection locked="0"/>
    </xf>
    <xf numFmtId="14" fontId="18" fillId="0" borderId="0" applyFill="0" applyBorder="0" applyAlignment="0"/>
    <xf numFmtId="14" fontId="22" fillId="0" borderId="10" applyFont="0">
      <alignment horizontal="right"/>
    </xf>
    <xf numFmtId="0" fontId="26"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25" fillId="0" borderId="0"/>
    <xf numFmtId="233" fontId="140" fillId="0" borderId="0">
      <alignment horizontal="right"/>
    </xf>
    <xf numFmtId="0" fontId="125" fillId="0" borderId="0"/>
    <xf numFmtId="234" fontId="27" fillId="0" borderId="0" applyFont="0" applyFill="0" applyBorder="0" applyAlignment="0" applyProtection="0">
      <alignment horizontal="right"/>
    </xf>
    <xf numFmtId="234" fontId="27" fillId="0" borderId="0" applyFont="0" applyFill="0" applyBorder="0" applyAlignment="0" applyProtection="0">
      <alignment horizontal="right"/>
    </xf>
    <xf numFmtId="234" fontId="27" fillId="0" borderId="0" applyFont="0" applyFill="0" applyBorder="0" applyAlignment="0" applyProtection="0">
      <alignment horizontal="right"/>
    </xf>
    <xf numFmtId="234" fontId="27" fillId="0" borderId="0" applyFont="0" applyFill="0" applyBorder="0" applyAlignment="0" applyProtection="0">
      <alignment horizontal="right"/>
    </xf>
    <xf numFmtId="234" fontId="27" fillId="0" borderId="0" applyFont="0" applyFill="0" applyBorder="0" applyAlignment="0" applyProtection="0">
      <alignment horizontal="right"/>
    </xf>
    <xf numFmtId="234" fontId="27" fillId="0" borderId="0" applyFont="0" applyFill="0" applyBorder="0" applyAlignment="0" applyProtection="0">
      <alignment horizontal="right"/>
    </xf>
    <xf numFmtId="0" fontId="18" fillId="0" borderId="0" applyFont="0" applyFill="0" applyBorder="0" applyAlignment="0" applyProtection="0">
      <protection locked="0"/>
    </xf>
    <xf numFmtId="0" fontId="42" fillId="0" borderId="14" applyNumberFormat="0" applyFont="0" applyFill="0" applyAlignment="0" applyProtection="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190" fontId="163" fillId="0" borderId="0" applyFont="0" applyFill="0" applyBorder="0" applyAlignment="0" applyProtection="0"/>
    <xf numFmtId="190" fontId="163" fillId="0" borderId="0" applyFont="0" applyFill="0" applyBorder="0" applyAlignment="0" applyProtection="0"/>
    <xf numFmtId="190" fontId="163" fillId="0" borderId="0" applyFont="0" applyFill="0" applyBorder="0" applyAlignment="0" applyProtection="0"/>
    <xf numFmtId="190" fontId="163" fillId="0" borderId="0" applyFont="0" applyFill="0" applyBorder="0" applyAlignment="0" applyProtection="0"/>
    <xf numFmtId="190" fontId="163" fillId="0" borderId="0" applyFont="0" applyFill="0" applyBorder="0" applyAlignment="0" applyProtection="0"/>
    <xf numFmtId="190" fontId="163" fillId="0" borderId="0" applyFont="0" applyFill="0" applyBorder="0" applyAlignment="0" applyProtection="0"/>
    <xf numFmtId="0" fontId="158" fillId="0" borderId="0"/>
    <xf numFmtId="0" fontId="158" fillId="0" borderId="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91" fontId="5" fillId="73" borderId="15" applyNumberFormat="0" applyFont="0" applyBorder="0" applyAlignment="0" applyProtection="0">
      <alignment horizontal="right"/>
    </xf>
    <xf numFmtId="191" fontId="5" fillId="73" borderId="15" applyNumberFormat="0" applyFont="0" applyBorder="0" applyAlignment="0" applyProtection="0">
      <alignment horizontal="right"/>
    </xf>
    <xf numFmtId="191" fontId="5" fillId="73" borderId="15" applyNumberFormat="0" applyFont="0" applyBorder="0" applyAlignment="0" applyProtection="0">
      <alignment horizontal="right"/>
    </xf>
    <xf numFmtId="191" fontId="5" fillId="73" borderId="15" applyNumberFormat="0" applyFont="0" applyBorder="0" applyAlignment="0" applyProtection="0">
      <alignment horizontal="right"/>
    </xf>
    <xf numFmtId="191" fontId="5" fillId="73" borderId="15" applyNumberFormat="0" applyFont="0" applyBorder="0" applyAlignment="0" applyProtection="0">
      <alignment horizontal="right"/>
    </xf>
    <xf numFmtId="166" fontId="148" fillId="0" borderId="0">
      <alignment horizontal="right"/>
    </xf>
    <xf numFmtId="166" fontId="148" fillId="0" borderId="0">
      <alignment horizontal="right"/>
    </xf>
    <xf numFmtId="166" fontId="148" fillId="0" borderId="0">
      <alignment horizontal="right"/>
    </xf>
    <xf numFmtId="166" fontId="148" fillId="0" borderId="0">
      <alignment horizontal="right"/>
    </xf>
    <xf numFmtId="166" fontId="148" fillId="0" borderId="0">
      <alignment horizontal="right"/>
    </xf>
    <xf numFmtId="166" fontId="148" fillId="0" borderId="0">
      <alignment horizontal="right"/>
    </xf>
    <xf numFmtId="1" fontId="164" fillId="99" borderId="34" applyNumberFormat="0" applyBorder="0" applyAlignment="0">
      <alignment horizontal="centerContinuous" vertical="center"/>
      <protection locked="0"/>
    </xf>
    <xf numFmtId="1" fontId="164" fillId="99" borderId="34" applyNumberFormat="0" applyBorder="0" applyAlignment="0">
      <alignment horizontal="centerContinuous" vertical="center"/>
      <protection locked="0"/>
    </xf>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0" fontId="158" fillId="0" borderId="0"/>
    <xf numFmtId="0" fontId="158" fillId="0" borderId="0"/>
    <xf numFmtId="1" fontId="5" fillId="0" borderId="0" applyNumberFormat="0" applyBorder="0" applyAlignment="0" applyProtection="0"/>
    <xf numFmtId="1" fontId="5" fillId="0" borderId="0" applyNumberFormat="0" applyBorder="0" applyAlignment="0" applyProtection="0"/>
    <xf numFmtId="1" fontId="5" fillId="0" borderId="0" applyNumberFormat="0" applyBorder="0" applyAlignment="0" applyProtection="0"/>
    <xf numFmtId="1" fontId="5" fillId="0" borderId="0" applyNumberFormat="0" applyBorder="0" applyAlignment="0" applyProtection="0"/>
    <xf numFmtId="1" fontId="5" fillId="0" borderId="0" applyNumberFormat="0" applyBorder="0" applyAlignment="0" applyProtection="0"/>
    <xf numFmtId="49" fontId="5" fillId="0" borderId="0" applyFill="0" applyBorder="0"/>
    <xf numFmtId="49" fontId="5" fillId="0" borderId="0" applyFill="0" applyBorder="0"/>
    <xf numFmtId="49" fontId="5" fillId="0" borderId="0" applyFill="0" applyBorder="0"/>
    <xf numFmtId="49" fontId="5" fillId="0" borderId="0" applyFill="0" applyBorder="0"/>
    <xf numFmtId="49" fontId="5" fillId="0" borderId="0" applyFill="0" applyBorder="0"/>
    <xf numFmtId="49" fontId="5" fillId="0" borderId="0" applyFill="0" applyBorder="0"/>
    <xf numFmtId="49" fontId="20" fillId="0" borderId="0"/>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49" fontId="20" fillId="0" borderId="0" applyFill="0" applyBorder="0">
      <alignment horizontal="right" vertical="center"/>
    </xf>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80" fillId="48" borderId="0" applyNumberFormat="0" applyBorder="0" applyAlignment="0" applyProtection="0"/>
    <xf numFmtId="0" fontId="5" fillId="0" borderId="0" applyNumberFormat="0" applyFill="0" applyBorder="0" applyProtection="0">
      <alignment wrapText="1"/>
    </xf>
    <xf numFmtId="0" fontId="5" fillId="0" borderId="0" applyNumberFormat="0" applyFill="0" applyBorder="0" applyProtection="0">
      <alignment wrapText="1"/>
    </xf>
    <xf numFmtId="0" fontId="5" fillId="0" borderId="0" applyNumberFormat="0" applyFill="0" applyBorder="0" applyProtection="0">
      <alignment wrapText="1"/>
    </xf>
    <xf numFmtId="0" fontId="5" fillId="0" borderId="0" applyNumberFormat="0" applyFill="0" applyBorder="0" applyProtection="0">
      <alignment wrapText="1"/>
    </xf>
    <xf numFmtId="0" fontId="5" fillId="0" borderId="0" applyNumberFormat="0" applyFill="0" applyBorder="0" applyProtection="0">
      <alignment wrapText="1"/>
    </xf>
    <xf numFmtId="0" fontId="5" fillId="0" borderId="0" applyNumberFormat="0" applyFill="0" applyBorder="0" applyProtection="0">
      <alignment wrapText="1"/>
    </xf>
    <xf numFmtId="0" fontId="165" fillId="0" borderId="0" applyNumberFormat="0" applyFill="0" applyBorder="0" applyProtection="0">
      <alignment wrapText="1"/>
    </xf>
    <xf numFmtId="0" fontId="165" fillId="0" borderId="0" applyNumberFormat="0" applyFill="0" applyBorder="0" applyProtection="0">
      <alignment wrapText="1"/>
    </xf>
    <xf numFmtId="0" fontId="166" fillId="0" borderId="0"/>
    <xf numFmtId="49" fontId="47" fillId="0" borderId="0">
      <alignment horizontal="right"/>
    </xf>
    <xf numFmtId="168" fontId="20" fillId="92" borderId="16" applyNumberFormat="0" applyFont="0" applyBorder="0" applyAlignment="0" applyProtection="0"/>
    <xf numFmtId="168" fontId="20" fillId="92" borderId="16" applyNumberFormat="0" applyFont="0" applyBorder="0" applyAlignment="0" applyProtection="0"/>
    <xf numFmtId="168" fontId="20" fillId="92" borderId="16" applyNumberFormat="0" applyFont="0" applyBorder="0" applyAlignment="0" applyProtection="0"/>
    <xf numFmtId="168" fontId="20" fillId="92" borderId="16" applyNumberFormat="0" applyFont="0" applyBorder="0" applyAlignment="0" applyProtection="0"/>
    <xf numFmtId="168" fontId="20" fillId="92" borderId="16" applyNumberFormat="0" applyFont="0" applyBorder="0" applyAlignment="0" applyProtection="0"/>
    <xf numFmtId="168" fontId="20" fillId="92" borderId="16" applyNumberFormat="0" applyFont="0" applyBorder="0" applyAlignment="0" applyProtection="0"/>
    <xf numFmtId="0" fontId="42" fillId="0" borderId="0" applyFont="0" applyFill="0" applyBorder="0" applyAlignment="0" applyProtection="0">
      <alignment horizontal="right"/>
    </xf>
    <xf numFmtId="166" fontId="167" fillId="92" borderId="0" applyNumberFormat="0" applyFont="0" applyAlignment="0"/>
    <xf numFmtId="0" fontId="168" fillId="0" borderId="0">
      <alignment horizontal="left"/>
    </xf>
    <xf numFmtId="0" fontId="55" fillId="0" borderId="45" applyNumberFormat="0" applyAlignment="0" applyProtection="0">
      <alignment horizontal="left" vertical="center"/>
    </xf>
    <xf numFmtId="0" fontId="55" fillId="0" borderId="45" applyNumberFormat="0" applyAlignment="0" applyProtection="0">
      <alignment horizontal="left" vertical="center"/>
    </xf>
    <xf numFmtId="0" fontId="55" fillId="0" borderId="45" applyNumberFormat="0" applyAlignment="0" applyProtection="0">
      <alignment horizontal="left" vertical="center"/>
    </xf>
    <xf numFmtId="0" fontId="55" fillId="0" borderId="45" applyNumberFormat="0" applyAlignment="0" applyProtection="0">
      <alignment horizontal="left" vertical="center"/>
    </xf>
    <xf numFmtId="0" fontId="55" fillId="0" borderId="45" applyNumberFormat="0" applyAlignment="0" applyProtection="0">
      <alignment horizontal="left" vertical="center"/>
    </xf>
    <xf numFmtId="0" fontId="55" fillId="0" borderId="45" applyNumberFormat="0" applyAlignment="0" applyProtection="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70" fillId="0" borderId="0" applyNumberFormat="0" applyFill="0" applyBorder="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70" fillId="0" borderId="0" applyNumberFormat="0" applyFill="0" applyBorder="0" applyAlignment="0" applyProtection="0"/>
    <xf numFmtId="0" fontId="170" fillId="0" borderId="0" applyNumberFormat="0" applyFill="0" applyBorder="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69" fillId="0" borderId="46"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55" fillId="0" borderId="0" applyNumberFormat="0" applyFill="0" applyBorder="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1" fillId="0" borderId="47"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53" fillId="0" borderId="0" applyProtection="0">
      <alignment horizontal="left"/>
    </xf>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53" fillId="0" borderId="0" applyProtection="0">
      <alignment horizontal="left"/>
    </xf>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53" fillId="0" borderId="0" applyProtection="0">
      <alignment horizontal="left"/>
    </xf>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53" fillId="0" borderId="0" applyProtection="0">
      <alignment horizontal="left"/>
    </xf>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48" applyNumberFormat="0" applyFill="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55" fillId="0" borderId="0"/>
    <xf numFmtId="0" fontId="55" fillId="0" borderId="0"/>
    <xf numFmtId="0" fontId="55" fillId="0" borderId="0"/>
    <xf numFmtId="0" fontId="55" fillId="0" borderId="0"/>
    <xf numFmtId="0" fontId="55" fillId="0" borderId="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38"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1" fontId="173" fillId="0" borderId="0" applyNumberFormat="0">
      <alignment horizontal="right"/>
    </xf>
    <xf numFmtId="0" fontId="137" fillId="41" borderId="11" applyNumberFormat="0" applyAlignment="0" applyProtection="0"/>
    <xf numFmtId="0" fontId="137" fillId="41" borderId="11" applyNumberFormat="0" applyAlignment="0" applyProtection="0"/>
    <xf numFmtId="0" fontId="137" fillId="38"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1" fontId="173" fillId="0" borderId="0" applyNumberFormat="0">
      <alignment horizontal="right"/>
    </xf>
    <xf numFmtId="0" fontId="137" fillId="38" borderId="11" applyNumberFormat="0" applyAlignment="0" applyProtection="0"/>
    <xf numFmtId="0" fontId="137" fillId="38"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1" fontId="173" fillId="0" borderId="0" applyNumberFormat="0">
      <alignment horizontal="right"/>
    </xf>
    <xf numFmtId="0" fontId="137" fillId="38" borderId="11" applyNumberFormat="0" applyAlignment="0" applyProtection="0"/>
    <xf numFmtId="0" fontId="137" fillId="38"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1" fontId="173" fillId="0" borderId="0" applyNumberFormat="0">
      <alignment horizontal="right"/>
    </xf>
    <xf numFmtId="1" fontId="173" fillId="0" borderId="0" applyNumberFormat="0">
      <alignment horizontal="right"/>
    </xf>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137" fillId="41" borderId="11" applyNumberFormat="0" applyAlignment="0" applyProtection="0"/>
    <xf numFmtId="0" fontId="57" fillId="76" borderId="0" applyNumberFormat="0" applyFont="0" applyBorder="0" applyAlignment="0" applyProtection="0"/>
    <xf numFmtId="0" fontId="174" fillId="0" borderId="0" applyNumberFormat="0" applyFill="0" applyBorder="0" applyAlignment="0">
      <protection locked="0"/>
    </xf>
    <xf numFmtId="0" fontId="140"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0" fontId="175" fillId="0" borderId="49" applyNumberFormat="0" applyFill="0" applyAlignment="0" applyProtection="0"/>
    <xf numFmtId="164" fontId="20" fillId="0" borderId="0" applyFont="0" applyFill="0" applyBorder="0" applyAlignment="0" applyProtection="0"/>
    <xf numFmtId="165" fontId="20" fillId="0" borderId="0" applyFont="0" applyFill="0" applyBorder="0" applyAlignment="0" applyProtection="0"/>
    <xf numFmtId="0" fontId="176" fillId="0" borderId="36"/>
    <xf numFmtId="42" fontId="20" fillId="0" borderId="0" applyFont="0" applyFill="0" applyBorder="0" applyAlignment="0" applyProtection="0"/>
    <xf numFmtId="44" fontId="20" fillId="0" borderId="0" applyFont="0" applyFill="0" applyBorder="0" applyAlignment="0" applyProtection="0"/>
    <xf numFmtId="236" fontId="5" fillId="75" borderId="0">
      <alignment horizontal="center"/>
    </xf>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237" fontId="20" fillId="0" borderId="0" applyFont="0" applyFill="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38"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38"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38" borderId="0" applyNumberFormat="0" applyBorder="0" applyAlignment="0" applyProtection="0"/>
    <xf numFmtId="0" fontId="93" fillId="38"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38" borderId="0" applyNumberFormat="0" applyBorder="0" applyAlignment="0" applyProtection="0"/>
    <xf numFmtId="0" fontId="93" fillId="38"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0" fontId="93" fillId="41" borderId="0" applyNumberFormat="0" applyBorder="0" applyAlignment="0" applyProtection="0"/>
    <xf numFmtId="37" fontId="177" fillId="0" borderId="0"/>
    <xf numFmtId="37" fontId="17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3" fillId="0" borderId="0"/>
    <xf numFmtId="0" fontId="20" fillId="0" borderId="0"/>
    <xf numFmtId="0" fontId="2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4" fillId="0" borderId="0"/>
    <xf numFmtId="2" fontId="57" fillId="0" borderId="0" applyBorder="0" applyProtection="0"/>
    <xf numFmtId="0" fontId="5" fillId="0" borderId="0" applyNumberFormat="0"/>
    <xf numFmtId="0" fontId="5" fillId="0" borderId="0" applyNumberFormat="0"/>
    <xf numFmtId="0" fontId="5" fillId="0" borderId="0" applyNumberFormat="0"/>
    <xf numFmtId="0" fontId="5" fillId="0" borderId="0" applyNumberFormat="0"/>
    <xf numFmtId="0" fontId="5" fillId="0" borderId="0" applyNumberFormat="0"/>
    <xf numFmtId="0" fontId="5" fillId="0" borderId="0" applyNumberFormat="0"/>
    <xf numFmtId="238" fontId="139" fillId="0" borderId="34" applyBorder="0" applyAlignment="0">
      <protection locked="0"/>
    </xf>
    <xf numFmtId="0" fontId="178" fillId="0" borderId="0"/>
    <xf numFmtId="0" fontId="139" fillId="0" borderId="30" applyNumberFormat="0" applyBorder="0" applyAlignment="0">
      <protection hidden="1"/>
    </xf>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0"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0" fillId="41" borderId="50" applyNumberFormat="0" applyFont="0" applyAlignment="0" applyProtection="0"/>
    <xf numFmtId="0" fontId="20"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0" fillId="41" borderId="50" applyNumberFormat="0" applyFont="0" applyAlignment="0" applyProtection="0"/>
    <xf numFmtId="0" fontId="20"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0" fontId="23" fillId="41" borderId="50" applyNumberFormat="0" applyFont="0" applyAlignment="0" applyProtection="0"/>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0" fontId="5" fillId="0" borderId="0" applyFill="0" applyBorder="0" applyProtection="0">
      <alignment horizontal="right" wrapText="1"/>
    </xf>
    <xf numFmtId="200" fontId="5" fillId="0" borderId="0" applyFill="0" applyBorder="0" applyProtection="0">
      <alignment horizontal="right" wrapText="1"/>
    </xf>
    <xf numFmtId="200" fontId="5" fillId="0" borderId="0" applyFill="0" applyBorder="0" applyProtection="0">
      <alignment horizontal="right" wrapText="1"/>
    </xf>
    <xf numFmtId="200" fontId="5" fillId="0" borderId="0" applyFill="0" applyBorder="0" applyProtection="0">
      <alignment horizontal="right" wrapText="1"/>
    </xf>
    <xf numFmtId="200" fontId="5" fillId="0" borderId="0" applyFill="0" applyBorder="0" applyProtection="0">
      <alignment horizontal="right" wrapText="1"/>
    </xf>
    <xf numFmtId="200" fontId="5" fillId="0" borderId="0" applyFill="0" applyBorder="0" applyProtection="0">
      <alignment horizontal="right" wrapText="1"/>
    </xf>
    <xf numFmtId="200" fontId="19" fillId="0" borderId="0" applyFill="0" applyBorder="0" applyProtection="0">
      <alignment horizontal="right" wrapText="1"/>
    </xf>
    <xf numFmtId="200" fontId="19" fillId="0" borderId="0" applyFill="0" applyBorder="0" applyProtection="0">
      <alignment horizontal="right" wrapText="1"/>
    </xf>
    <xf numFmtId="200" fontId="19" fillId="0" borderId="0" applyFill="0" applyBorder="0" applyProtection="0">
      <alignment horizontal="right" wrapText="1"/>
    </xf>
    <xf numFmtId="200" fontId="19" fillId="0" borderId="0" applyFill="0" applyBorder="0" applyProtection="0">
      <alignment horizontal="right" wrapText="1"/>
    </xf>
    <xf numFmtId="200" fontId="19" fillId="0" borderId="0" applyFill="0" applyBorder="0" applyProtection="0">
      <alignment horizontal="right" wrapText="1"/>
    </xf>
    <xf numFmtId="200" fontId="19" fillId="0" borderId="0" applyFill="0" applyBorder="0" applyProtection="0">
      <alignment horizontal="right" wrapText="1"/>
    </xf>
    <xf numFmtId="239" fontId="139" fillId="0" borderId="0" applyFont="0" applyFill="0" applyBorder="0" applyProtection="0">
      <alignment horizontal="right"/>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5"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01" fontId="19" fillId="0" borderId="0" applyFill="0" applyBorder="0" applyProtection="0">
      <alignment horizontal="right" wrapText="1"/>
    </xf>
    <xf numFmtId="240" fontId="5" fillId="0" borderId="0" applyFill="0" applyBorder="0" applyProtection="0">
      <alignment horizontal="right" wrapText="1"/>
    </xf>
    <xf numFmtId="240" fontId="5" fillId="0" borderId="0" applyFill="0" applyBorder="0" applyProtection="0">
      <alignment horizontal="right" wrapText="1"/>
    </xf>
    <xf numFmtId="240" fontId="5" fillId="0" borderId="0" applyFill="0" applyBorder="0" applyProtection="0">
      <alignment horizontal="right" wrapText="1"/>
    </xf>
    <xf numFmtId="240" fontId="5" fillId="0" borderId="0" applyFill="0" applyBorder="0" applyProtection="0">
      <alignment horizontal="right" wrapText="1"/>
    </xf>
    <xf numFmtId="240" fontId="5" fillId="0" borderId="0" applyFill="0" applyBorder="0" applyProtection="0">
      <alignment horizontal="right" wrapText="1"/>
    </xf>
    <xf numFmtId="240" fontId="5" fillId="0" borderId="0" applyFill="0" applyBorder="0" applyProtection="0">
      <alignment horizontal="right" wrapText="1"/>
    </xf>
    <xf numFmtId="240" fontId="19" fillId="0" borderId="0" applyFill="0" applyBorder="0" applyProtection="0">
      <alignment horizontal="right" wrapText="1"/>
    </xf>
    <xf numFmtId="240" fontId="19" fillId="0" borderId="0" applyFill="0" applyBorder="0" applyProtection="0">
      <alignment horizontal="right" wrapText="1"/>
    </xf>
    <xf numFmtId="240" fontId="19" fillId="0" borderId="0" applyFill="0" applyBorder="0" applyProtection="0">
      <alignment horizontal="right" wrapText="1"/>
    </xf>
    <xf numFmtId="240" fontId="19" fillId="0" borderId="0" applyFill="0" applyBorder="0" applyProtection="0">
      <alignment horizontal="right" wrapText="1"/>
    </xf>
    <xf numFmtId="240" fontId="19" fillId="0" borderId="0" applyFill="0" applyBorder="0" applyProtection="0">
      <alignment horizontal="right" wrapText="1"/>
    </xf>
    <xf numFmtId="240" fontId="19" fillId="0" borderId="0" applyFill="0" applyBorder="0" applyProtection="0">
      <alignment horizontal="right" wrapText="1"/>
    </xf>
    <xf numFmtId="40" fontId="179" fillId="0" borderId="0" applyFont="0" applyFill="0" applyBorder="0" applyAlignment="0" applyProtection="0"/>
    <xf numFmtId="38" fontId="179" fillId="0" borderId="0" applyFont="0" applyFill="0" applyBorder="0" applyAlignment="0" applyProtection="0"/>
    <xf numFmtId="0" fontId="180" fillId="0" borderId="0">
      <alignment horizontal="left"/>
    </xf>
    <xf numFmtId="0" fontId="180" fillId="0" borderId="0">
      <alignment horizontal="left"/>
    </xf>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61" fillId="45" borderId="26" applyNumberFormat="0" applyAlignment="0" applyProtection="0"/>
    <xf numFmtId="0" fontId="37" fillId="0" borderId="0" applyNumberFormat="0" applyFill="0" applyBorder="0">
      <alignment horizontal="left"/>
    </xf>
    <xf numFmtId="14" fontId="125" fillId="0" borderId="0">
      <alignment horizontal="center" wrapText="1"/>
      <protection locked="0"/>
    </xf>
    <xf numFmtId="14" fontId="125" fillId="0" borderId="0">
      <alignment horizontal="center" wrapText="1"/>
      <protection locked="0"/>
    </xf>
    <xf numFmtId="241" fontId="20" fillId="0" borderId="0" applyFont="0" applyFill="0" applyBorder="0" applyAlignment="0" applyProtection="0"/>
    <xf numFmtId="241" fontId="20" fillId="0" borderId="0" applyFont="0" applyFill="0" applyBorder="0" applyAlignment="0" applyProtection="0"/>
    <xf numFmtId="241" fontId="20" fillId="0" borderId="0" applyFont="0" applyFill="0" applyBorder="0" applyAlignment="0" applyProtection="0"/>
    <xf numFmtId="241" fontId="20" fillId="0" borderId="0" applyFont="0" applyFill="0" applyBorder="0" applyAlignment="0" applyProtection="0"/>
    <xf numFmtId="241" fontId="20" fillId="0" borderId="0" applyFont="0" applyFill="0" applyBorder="0" applyAlignment="0" applyProtection="0"/>
    <xf numFmtId="241" fontId="20" fillId="0" borderId="0" applyFont="0" applyFill="0" applyBorder="0" applyAlignment="0" applyProtection="0"/>
    <xf numFmtId="241" fontId="20" fillId="0" borderId="0" applyFont="0" applyFill="0" applyBorder="0" applyAlignment="0" applyProtection="0"/>
    <xf numFmtId="241"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242"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10" fontId="20"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10" fontId="57" fillId="0" borderId="0" applyFont="0" applyFill="0" applyBorder="0" applyAlignment="0" applyProtection="0"/>
    <xf numFmtId="10" fontId="57" fillId="0" borderId="0" applyFont="0" applyFill="0" applyBorder="0" applyAlignment="0" applyProtection="0"/>
    <xf numFmtId="243" fontId="29" fillId="0" borderId="38" applyFill="0" applyAlignment="0">
      <alignment horizontal="right"/>
    </xf>
    <xf numFmtId="243" fontId="29" fillId="0" borderId="38" applyFill="0" applyAlignment="0">
      <alignment horizontal="right"/>
    </xf>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27"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3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225" fontId="20" fillId="0" borderId="0" applyFill="0" applyBorder="0" applyAlignment="0"/>
    <xf numFmtId="1" fontId="181" fillId="74" borderId="0">
      <alignment horizontal="center"/>
    </xf>
    <xf numFmtId="0" fontId="57" fillId="0" borderId="0" applyNumberFormat="0" applyFont="0" applyFill="0" applyBorder="0" applyAlignment="0" applyProtection="0">
      <alignment horizontal="left"/>
    </xf>
    <xf numFmtId="0" fontId="57" fillId="0" borderId="0" applyNumberFormat="0" applyFont="0" applyFill="0" applyBorder="0" applyAlignment="0" applyProtection="0">
      <alignment horizontal="left"/>
    </xf>
    <xf numFmtId="15" fontId="57" fillId="0" borderId="0" applyFont="0" applyFill="0" applyBorder="0" applyAlignment="0" applyProtection="0"/>
    <xf numFmtId="15" fontId="57" fillId="0" borderId="0" applyFont="0" applyFill="0" applyBorder="0" applyAlignment="0" applyProtection="0"/>
    <xf numFmtId="4" fontId="57" fillId="0" borderId="0" applyFont="0" applyFill="0" applyBorder="0" applyAlignment="0" applyProtection="0"/>
    <xf numFmtId="4" fontId="57" fillId="0" borderId="0" applyFont="0" applyFill="0" applyBorder="0" applyAlignment="0" applyProtection="0"/>
    <xf numFmtId="0" fontId="182" fillId="0" borderId="36">
      <alignment horizontal="center"/>
    </xf>
    <xf numFmtId="0" fontId="182" fillId="0" borderId="36">
      <alignment horizontal="center"/>
    </xf>
    <xf numFmtId="3" fontId="57" fillId="0" borderId="0" applyFont="0" applyFill="0" applyBorder="0" applyAlignment="0" applyProtection="0"/>
    <xf numFmtId="3" fontId="57" fillId="0" borderId="0" applyFont="0" applyFill="0" applyBorder="0" applyAlignment="0" applyProtection="0"/>
    <xf numFmtId="0" fontId="57" fillId="100" borderId="0" applyNumberFormat="0" applyFont="0" applyBorder="0" applyAlignment="0" applyProtection="0"/>
    <xf numFmtId="0" fontId="57" fillId="100" borderId="0" applyNumberFormat="0" applyFont="0" applyBorder="0" applyAlignment="0" applyProtection="0"/>
    <xf numFmtId="244" fontId="5" fillId="0" borderId="0"/>
    <xf numFmtId="244" fontId="5" fillId="0" borderId="0"/>
    <xf numFmtId="244" fontId="5" fillId="0" borderId="0"/>
    <xf numFmtId="244" fontId="5" fillId="0" borderId="0"/>
    <xf numFmtId="244" fontId="5" fillId="0" borderId="0"/>
    <xf numFmtId="244" fontId="5" fillId="0" borderId="0"/>
    <xf numFmtId="0" fontId="183" fillId="0" borderId="0"/>
    <xf numFmtId="167" fontId="57" fillId="61" borderId="39" applyNumberFormat="0" applyFont="0" applyBorder="0" applyAlignment="0" applyProtection="0">
      <alignment horizontal="center"/>
    </xf>
    <xf numFmtId="167" fontId="57" fillId="61" borderId="39" applyNumberFormat="0" applyFont="0" applyBorder="0" applyAlignment="0" applyProtection="0">
      <alignment horizontal="center"/>
    </xf>
    <xf numFmtId="0" fontId="184" fillId="0" borderId="51">
      <alignment vertical="center"/>
    </xf>
    <xf numFmtId="241" fontId="20" fillId="0" borderId="0">
      <alignment horizontal="center"/>
    </xf>
    <xf numFmtId="241" fontId="20" fillId="0" borderId="0">
      <alignment horizontal="center"/>
    </xf>
    <xf numFmtId="241" fontId="20" fillId="0" borderId="0">
      <alignment horizontal="center"/>
    </xf>
    <xf numFmtId="241" fontId="20" fillId="0" borderId="0">
      <alignment horizontal="center"/>
    </xf>
    <xf numFmtId="241" fontId="20" fillId="0" borderId="0">
      <alignment horizontal="center"/>
    </xf>
    <xf numFmtId="241" fontId="20" fillId="0" borderId="0">
      <alignment horizontal="center"/>
    </xf>
    <xf numFmtId="241" fontId="20" fillId="0" borderId="0">
      <alignment horizontal="center"/>
    </xf>
    <xf numFmtId="241" fontId="20" fillId="0" borderId="0">
      <alignment horizontal="center"/>
    </xf>
    <xf numFmtId="0" fontId="35" fillId="0" borderId="0">
      <alignment vertical="center"/>
    </xf>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84" fillId="0" borderId="52" applyNumberFormat="0" applyFill="0" applyAlignment="0" applyProtection="0"/>
    <xf numFmtId="0" fontId="84" fillId="0" borderId="52" applyNumberFormat="0" applyFill="0" applyAlignment="0" applyProtection="0"/>
    <xf numFmtId="0" fontId="84" fillId="0" borderId="52" applyNumberFormat="0" applyFill="0" applyAlignment="0" applyProtection="0"/>
    <xf numFmtId="0" fontId="84" fillId="0" borderId="52" applyNumberFormat="0" applyFill="0" applyAlignment="0" applyProtection="0"/>
    <xf numFmtId="0" fontId="84" fillId="0" borderId="52" applyNumberFormat="0" applyFill="0" applyAlignment="0" applyProtection="0"/>
    <xf numFmtId="0" fontId="84" fillId="0" borderId="52" applyNumberFormat="0" applyFill="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20" fillId="0" borderId="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42" borderId="0" applyNumberFormat="0" applyBorder="0" applyAlignment="0" applyProtection="0"/>
    <xf numFmtId="0" fontId="4" fillId="33"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26" borderId="0" applyNumberFormat="0" applyBorder="0" applyAlignment="0" applyProtection="0"/>
    <xf numFmtId="0" fontId="4" fillId="44"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30" borderId="0" applyNumberFormat="0" applyBorder="0" applyAlignment="0" applyProtection="0"/>
    <xf numFmtId="0" fontId="4" fillId="38"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3" borderId="0" applyNumberFormat="0" applyBorder="0" applyAlignment="0" applyProtection="0"/>
    <xf numFmtId="0" fontId="4" fillId="45"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5"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27" borderId="0" applyNumberFormat="0" applyBorder="0" applyAlignment="0" applyProtection="0"/>
    <xf numFmtId="0" fontId="4" fillId="43"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50" borderId="0" applyNumberFormat="0" applyBorder="0" applyAlignment="0" applyProtection="0"/>
    <xf numFmtId="0" fontId="4" fillId="38" borderId="0" applyNumberFormat="0" applyBorder="0" applyAlignment="0" applyProtection="0"/>
    <xf numFmtId="181" fontId="30" fillId="68" borderId="10" applyFont="0">
      <alignment horizontal="right"/>
    </xf>
    <xf numFmtId="165" fontId="23" fillId="0" borderId="0" applyFont="0" applyFill="0" applyBorder="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51" fillId="0" borderId="18" applyNumberFormat="0" applyFill="0" applyAlignment="0" applyProtection="0"/>
    <xf numFmtId="0" fontId="81" fillId="0" borderId="17" applyNumberFormat="0" applyFill="0" applyAlignment="0" applyProtection="0"/>
    <xf numFmtId="0" fontId="81" fillId="0" borderId="17"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54" fillId="0" borderId="21"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0" applyNumberFormat="0" applyFill="0" applyBorder="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83" fillId="0" borderId="23"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8" borderId="8" applyNumberFormat="0" applyFon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0" fontId="61" fillId="33" borderId="26" applyNumberFormat="0" applyAlignment="0" applyProtection="0"/>
    <xf numFmtId="0" fontId="84" fillId="33" borderId="22" applyNumberFormat="0" applyAlignment="0" applyProtection="0"/>
    <xf numFmtId="0" fontId="84" fillId="33" borderId="22" applyNumberFormat="0" applyAlignment="0" applyProtection="0"/>
    <xf numFmtId="1" fontId="28" fillId="0" borderId="10" applyFill="0" applyProtection="0">
      <alignment horizontal="right"/>
    </xf>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128" fillId="0" borderId="56" applyNumberFormat="0" applyFill="0" applyBorder="0" applyAlignment="0" applyProtection="0">
      <alignment horizontal="center"/>
    </xf>
    <xf numFmtId="165" fontId="4" fillId="0" borderId="0" applyFont="0" applyFill="0" applyBorder="0" applyAlignment="0" applyProtection="0"/>
    <xf numFmtId="0" fontId="4" fillId="0" borderId="0"/>
    <xf numFmtId="165" fontId="4" fillId="0" borderId="0" applyFont="0" applyFill="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165" fontId="4" fillId="0" borderId="0" applyFont="0" applyFill="0" applyBorder="0" applyAlignment="0" applyProtection="0"/>
    <xf numFmtId="0" fontId="4" fillId="8" borderId="8" applyNumberFormat="0" applyFont="0" applyAlignment="0" applyProtection="0"/>
    <xf numFmtId="0" fontId="4" fillId="11" borderId="0" applyNumberFormat="0" applyBorder="0" applyAlignment="0" applyProtection="0"/>
    <xf numFmtId="0" fontId="4" fillId="15" borderId="0" applyNumberFormat="0" applyBorder="0" applyAlignment="0" applyProtection="0"/>
    <xf numFmtId="0" fontId="4" fillId="31" borderId="0" applyNumberFormat="0" applyBorder="0" applyAlignment="0" applyProtection="0"/>
    <xf numFmtId="0" fontId="4" fillId="19" borderId="0" applyNumberFormat="0" applyBorder="0" applyAlignment="0" applyProtection="0"/>
    <xf numFmtId="0" fontId="4" fillId="8" borderId="8" applyNumberFormat="0" applyFont="0" applyAlignment="0" applyProtection="0"/>
    <xf numFmtId="0" fontId="4" fillId="0" borderId="0"/>
    <xf numFmtId="0" fontId="100" fillId="2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0" borderId="0" applyNumberFormat="0" applyBorder="0" applyAlignment="0" applyProtection="0"/>
    <xf numFmtId="0" fontId="4" fillId="30" borderId="0" applyNumberFormat="0" applyBorder="0" applyAlignment="0" applyProtection="0"/>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8" borderId="8" applyNumberFormat="0" applyFont="0" applyAlignment="0" applyProtection="0"/>
    <xf numFmtId="0" fontId="4" fillId="0" borderId="0"/>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4" fillId="0" borderId="0"/>
    <xf numFmtId="0" fontId="128" fillId="0" borderId="56" applyNumberFormat="0" applyFill="0" applyBorder="0" applyAlignment="0" applyProtection="0">
      <alignment horizontal="center"/>
    </xf>
    <xf numFmtId="0" fontId="4" fillId="0" borderId="0"/>
    <xf numFmtId="0" fontId="4" fillId="0" borderId="0"/>
    <xf numFmtId="0" fontId="4" fillId="0" borderId="0"/>
    <xf numFmtId="0" fontId="128" fillId="0" borderId="56" applyNumberFormat="0" applyFill="0" applyBorder="0" applyAlignment="0" applyProtection="0">
      <alignment horizontal="center"/>
    </xf>
    <xf numFmtId="165" fontId="4" fillId="0" borderId="0" applyFont="0" applyFill="0" applyBorder="0" applyAlignment="0" applyProtection="0"/>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0" fontId="128" fillId="0" borderId="56" applyNumberFormat="0" applyFill="0" applyBorder="0" applyAlignment="0" applyProtection="0">
      <alignment horizontal="center"/>
    </xf>
    <xf numFmtId="181" fontId="30" fillId="68" borderId="10" applyFont="0">
      <alignment horizontal="right"/>
    </xf>
    <xf numFmtId="1" fontId="151" fillId="97" borderId="55" applyNumberFormat="0" applyBorder="0" applyAlignment="0">
      <alignment horizontal="center" vertical="top" wrapText="1"/>
      <protection hidden="1"/>
    </xf>
    <xf numFmtId="0" fontId="153" fillId="0" borderId="56" applyNumberFormat="0" applyFill="0" applyAlignment="0" applyProtection="0"/>
    <xf numFmtId="221" fontId="162" fillId="0" borderId="10" applyNumberFormat="0" applyFill="0" applyBorder="0" applyProtection="0"/>
    <xf numFmtId="0" fontId="55" fillId="0" borderId="1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55" fillId="0" borderId="10">
      <alignment horizontal="left" vertical="center"/>
    </xf>
    <xf numFmtId="0" fontId="139" fillId="0" borderId="55" applyNumberFormat="0" applyBorder="0" applyAlignment="0">
      <protection hidden="1"/>
    </xf>
    <xf numFmtId="0" fontId="100" fillId="29" borderId="0" applyNumberFormat="0" applyBorder="0" applyAlignment="0" applyProtection="0"/>
    <xf numFmtId="167" fontId="57" fillId="61" borderId="54" applyNumberFormat="0" applyFont="0" applyBorder="0" applyAlignment="0" applyProtection="0">
      <alignment horizontal="center"/>
    </xf>
    <xf numFmtId="167" fontId="57" fillId="61" borderId="54" applyNumberFormat="0" applyFont="0" applyBorder="0" applyAlignment="0" applyProtection="0">
      <alignment horizontal="center"/>
    </xf>
    <xf numFmtId="0" fontId="4" fillId="0" borderId="0"/>
    <xf numFmtId="0" fontId="128" fillId="0" borderId="6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8" applyNumberFormat="0" applyFill="0" applyBorder="0" applyAlignment="0" applyProtection="0">
      <alignment horizontal="center"/>
    </xf>
    <xf numFmtId="167" fontId="57" fillId="61" borderId="59" applyNumberFormat="0" applyFont="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4" applyNumberFormat="0" applyFill="0" applyBorder="0" applyAlignment="0" applyProtection="0">
      <alignment horizontal="center"/>
    </xf>
    <xf numFmtId="167" fontId="57" fillId="61" borderId="27" applyNumberFormat="0" applyFont="0" applyBorder="0" applyAlignment="0" applyProtection="0">
      <alignment horizontal="center"/>
    </xf>
    <xf numFmtId="0" fontId="128" fillId="0" borderId="72"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0" applyNumberFormat="0" applyFill="0" applyBorder="0" applyAlignment="0" applyProtection="0">
      <alignment horizontal="center"/>
    </xf>
    <xf numFmtId="189" fontId="70" fillId="0" borderId="68" applyBorder="0" applyProtection="0">
      <alignment horizontal="right" vertical="center"/>
    </xf>
    <xf numFmtId="0" fontId="128" fillId="0" borderId="68"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167" fontId="57" fillId="61" borderId="27" applyNumberFormat="0" applyFont="0" applyBorder="0" applyAlignment="0" applyProtection="0">
      <alignment horizontal="center"/>
    </xf>
    <xf numFmtId="0" fontId="128" fillId="0" borderId="72"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70" applyNumberFormat="0" applyFill="0" applyBorder="0" applyAlignment="0" applyProtection="0">
      <alignment horizontal="center"/>
    </xf>
    <xf numFmtId="0" fontId="153" fillId="0" borderId="72" applyNumberFormat="0" applyFill="0" applyAlignment="0" applyProtection="0"/>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0" applyNumberFormat="0" applyFill="0" applyBorder="0" applyAlignment="0" applyProtection="0">
      <alignment horizontal="center"/>
    </xf>
    <xf numFmtId="0" fontId="153" fillId="0" borderId="70" applyNumberFormat="0" applyFill="0" applyAlignment="0" applyProtection="0"/>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0" applyNumberFormat="0" applyFill="0" applyBorder="0" applyAlignment="0" applyProtection="0">
      <alignment horizontal="center"/>
    </xf>
    <xf numFmtId="189" fontId="70" fillId="0" borderId="40" applyBorder="0" applyProtection="0">
      <alignment horizontal="right" vertical="center"/>
    </xf>
    <xf numFmtId="0" fontId="71" fillId="78" borderId="40" applyBorder="0" applyProtection="0">
      <alignment horizontal="centerContinuous" vertical="center"/>
    </xf>
    <xf numFmtId="0" fontId="45" fillId="0" borderId="55" applyFill="0" applyBorder="0" applyProtection="0">
      <alignment horizontal="left" vertical="top"/>
    </xf>
    <xf numFmtId="0" fontId="128" fillId="0" borderId="68"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8" applyNumberFormat="0" applyFill="0" applyBorder="0" applyAlignment="0" applyProtection="0">
      <alignment horizontal="center"/>
    </xf>
    <xf numFmtId="0" fontId="153" fillId="0" borderId="62" applyNumberFormat="0" applyFill="0" applyAlignment="0" applyProtection="0"/>
    <xf numFmtId="0" fontId="128" fillId="0" borderId="64" applyNumberFormat="0" applyFill="0" applyBorder="0" applyAlignment="0" applyProtection="0">
      <alignment horizontal="center"/>
    </xf>
    <xf numFmtId="167" fontId="57" fillId="61" borderId="63" applyNumberFormat="0" applyFont="0" applyBorder="0" applyAlignment="0" applyProtection="0">
      <alignment horizontal="center"/>
    </xf>
    <xf numFmtId="0" fontId="128" fillId="0" borderId="72"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167" fontId="57" fillId="61" borderId="69" applyNumberFormat="0" applyFont="0" applyBorder="0" applyAlignment="0" applyProtection="0">
      <alignment horizontal="center"/>
    </xf>
    <xf numFmtId="0" fontId="128" fillId="0" borderId="60"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8" applyNumberFormat="0" applyFill="0" applyBorder="0" applyAlignment="0" applyProtection="0">
      <alignment horizontal="center"/>
    </xf>
    <xf numFmtId="167" fontId="57" fillId="61" borderId="63" applyNumberFormat="0" applyFont="0" applyBorder="0" applyAlignment="0" applyProtection="0">
      <alignment horizontal="center"/>
    </xf>
    <xf numFmtId="0" fontId="128" fillId="0" borderId="72"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167" fontId="57" fillId="61" borderId="67" applyNumberFormat="0" applyFont="0" applyBorder="0" applyAlignment="0" applyProtection="0">
      <alignment horizontal="center"/>
    </xf>
    <xf numFmtId="0" fontId="128" fillId="0" borderId="70"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167" fontId="57" fillId="61" borderId="69" applyNumberFormat="0" applyFont="0" applyBorder="0" applyAlignment="0" applyProtection="0">
      <alignment horizontal="center"/>
    </xf>
    <xf numFmtId="0" fontId="128" fillId="0" borderId="72" applyNumberFormat="0" applyFill="0" applyBorder="0" applyAlignment="0" applyProtection="0">
      <alignment horizontal="center"/>
    </xf>
    <xf numFmtId="167" fontId="57" fillId="61" borderId="71" applyNumberFormat="0" applyFont="0" applyBorder="0" applyAlignment="0" applyProtection="0">
      <alignment horizontal="center"/>
    </xf>
    <xf numFmtId="167" fontId="57" fillId="61" borderId="71" applyNumberFormat="0" applyFont="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189" fontId="70" fillId="0" borderId="60" applyBorder="0" applyProtection="0">
      <alignment horizontal="right" vertical="center"/>
    </xf>
    <xf numFmtId="167" fontId="57" fillId="61" borderId="67" applyNumberFormat="0" applyFont="0" applyBorder="0" applyAlignment="0" applyProtection="0">
      <alignment horizontal="center"/>
    </xf>
    <xf numFmtId="0" fontId="128" fillId="0" borderId="64"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53" fillId="0" borderId="68" applyNumberFormat="0" applyFill="0" applyAlignment="0" applyProtection="0"/>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71" fillId="78" borderId="58" applyBorder="0" applyProtection="0">
      <alignment horizontal="centerContinuous" vertical="center"/>
    </xf>
    <xf numFmtId="189" fontId="70" fillId="0" borderId="58" applyBorder="0" applyProtection="0">
      <alignment horizontal="right" vertical="center"/>
    </xf>
    <xf numFmtId="0" fontId="128" fillId="0" borderId="72"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167" fontId="57" fillId="61" borderId="59" applyNumberFormat="0" applyFont="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53" fillId="0" borderId="60" applyNumberFormat="0" applyFill="0" applyAlignment="0" applyProtection="0"/>
    <xf numFmtId="0" fontId="128" fillId="0" borderId="72" applyNumberFormat="0" applyFill="0" applyBorder="0" applyAlignment="0" applyProtection="0">
      <alignment horizontal="center"/>
    </xf>
    <xf numFmtId="0" fontId="71" fillId="78" borderId="68" applyBorder="0" applyProtection="0">
      <alignment horizontal="centerContinuous" vertic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167" fontId="57" fillId="61" borderId="54" applyNumberFormat="0" applyFont="0" applyBorder="0" applyAlignment="0" applyProtection="0">
      <alignment horizontal="center"/>
    </xf>
    <xf numFmtId="0" fontId="128" fillId="0" borderId="70"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53" fillId="0" borderId="64" applyNumberFormat="0" applyFill="0" applyAlignment="0" applyProtection="0"/>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0" fontId="128" fillId="0" borderId="62" applyNumberFormat="0" applyFill="0" applyBorder="0" applyAlignment="0" applyProtection="0">
      <alignment horizontal="center"/>
    </xf>
    <xf numFmtId="167" fontId="57" fillId="61" borderId="57" applyNumberFormat="0" applyFont="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0" fontId="71" fillId="78" borderId="60" applyBorder="0" applyProtection="0">
      <alignment horizontal="centerContinuous" vertic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0"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28" fillId="0" borderId="58" applyNumberFormat="0" applyFill="0" applyBorder="0" applyAlignment="0" applyProtection="0">
      <alignment horizontal="center"/>
    </xf>
    <xf numFmtId="0" fontId="153" fillId="0" borderId="58" applyNumberFormat="0" applyFill="0" applyAlignment="0" applyProtection="0"/>
    <xf numFmtId="167" fontId="57" fillId="61" borderId="57" applyNumberFormat="0" applyFont="0" applyBorder="0" applyAlignment="0" applyProtection="0">
      <alignment horizontal="center"/>
    </xf>
    <xf numFmtId="167" fontId="57" fillId="61" borderId="57" applyNumberFormat="0" applyFont="0" applyBorder="0" applyAlignment="0" applyProtection="0">
      <alignment horizontal="center"/>
    </xf>
    <xf numFmtId="167" fontId="57" fillId="61" borderId="61" applyNumberFormat="0" applyFont="0" applyBorder="0" applyAlignment="0" applyProtection="0">
      <alignment horizontal="center"/>
    </xf>
    <xf numFmtId="167" fontId="57" fillId="61" borderId="61" applyNumberFormat="0" applyFont="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28" fillId="0" borderId="64" applyNumberFormat="0" applyFill="0" applyBorder="0" applyAlignment="0" applyProtection="0">
      <alignment horizontal="center"/>
    </xf>
    <xf numFmtId="0" fontId="153" fillId="0" borderId="64" applyNumberFormat="0" applyFill="0" applyAlignment="0" applyProtection="0"/>
    <xf numFmtId="0" fontId="128" fillId="0" borderId="70" applyNumberFormat="0" applyFill="0" applyBorder="0" applyAlignment="0" applyProtection="0">
      <alignment horizontal="center"/>
    </xf>
    <xf numFmtId="167" fontId="57" fillId="61" borderId="63" applyNumberFormat="0" applyFont="0" applyBorder="0" applyAlignment="0" applyProtection="0">
      <alignment horizontal="center"/>
    </xf>
    <xf numFmtId="167" fontId="57" fillId="61" borderId="63" applyNumberFormat="0" applyFont="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28" fillId="0" borderId="66" applyNumberFormat="0" applyFill="0" applyBorder="0" applyAlignment="0" applyProtection="0">
      <alignment horizontal="center"/>
    </xf>
    <xf numFmtId="0" fontId="153" fillId="0" borderId="66" applyNumberFormat="0" applyFill="0" applyAlignment="0" applyProtection="0"/>
    <xf numFmtId="167" fontId="57" fillId="61" borderId="65" applyNumberFormat="0" applyFont="0" applyBorder="0" applyAlignment="0" applyProtection="0">
      <alignment horizontal="center"/>
    </xf>
    <xf numFmtId="167" fontId="57" fillId="61" borderId="65" applyNumberFormat="0" applyFont="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28" fillId="0" borderId="68" applyNumberFormat="0" applyFill="0" applyBorder="0" applyAlignment="0" applyProtection="0">
      <alignment horizontal="center"/>
    </xf>
    <xf numFmtId="0" fontId="153" fillId="0" borderId="68" applyNumberFormat="0" applyFill="0" applyAlignment="0" applyProtection="0"/>
    <xf numFmtId="167" fontId="57" fillId="61" borderId="67" applyNumberFormat="0" applyFont="0" applyBorder="0" applyAlignment="0" applyProtection="0">
      <alignment horizontal="center"/>
    </xf>
    <xf numFmtId="167" fontId="57" fillId="61" borderId="67" applyNumberFormat="0" applyFont="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28" fillId="0" borderId="70" applyNumberFormat="0" applyFill="0" applyBorder="0" applyAlignment="0" applyProtection="0">
      <alignment horizontal="center"/>
    </xf>
    <xf numFmtId="0" fontId="153" fillId="0" borderId="70" applyNumberFormat="0" applyFill="0" applyAlignment="0" applyProtection="0"/>
    <xf numFmtId="167" fontId="57" fillId="61" borderId="69" applyNumberFormat="0" applyFont="0" applyBorder="0" applyAlignment="0" applyProtection="0">
      <alignment horizontal="center"/>
    </xf>
    <xf numFmtId="167" fontId="57" fillId="61" borderId="69" applyNumberFormat="0" applyFont="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28" fillId="0" borderId="72" applyNumberFormat="0" applyFill="0" applyBorder="0" applyAlignment="0" applyProtection="0">
      <alignment horizontal="center"/>
    </xf>
    <xf numFmtId="0" fontId="153" fillId="0" borderId="72" applyNumberFormat="0" applyFill="0" applyAlignment="0" applyProtection="0"/>
    <xf numFmtId="167" fontId="57" fillId="61" borderId="71" applyNumberFormat="0" applyFont="0" applyBorder="0" applyAlignment="0" applyProtection="0">
      <alignment horizontal="center"/>
    </xf>
    <xf numFmtId="167" fontId="57" fillId="61" borderId="71" applyNumberFormat="0" applyFont="0" applyBorder="0" applyAlignment="0" applyProtection="0">
      <alignment horizontal="center"/>
    </xf>
    <xf numFmtId="43" fontId="189" fillId="0" borderId="0" applyFont="0" applyFill="0" applyBorder="0" applyAlignment="0" applyProtection="0"/>
    <xf numFmtId="9" fontId="189" fillId="0" borderId="0" applyFont="0" applyFill="0" applyBorder="0" applyAlignment="0" applyProtection="0"/>
    <xf numFmtId="0" fontId="3" fillId="0" borderId="0"/>
    <xf numFmtId="0" fontId="196" fillId="0" borderId="0" applyBorder="0">
      <alignment wrapText="1"/>
    </xf>
    <xf numFmtId="9" fontId="224" fillId="0" borderId="0" applyFont="0" applyFill="0" applyBorder="0" applyAlignment="0" applyProtection="0"/>
    <xf numFmtId="0" fontId="2" fillId="0" borderId="0"/>
    <xf numFmtId="0" fontId="237" fillId="0" borderId="0" applyNumberFormat="0" applyFill="0" applyBorder="0" applyAlignment="0" applyProtection="0"/>
    <xf numFmtId="0" fontId="239" fillId="0" borderId="0" applyNumberFormat="0" applyFill="0" applyBorder="0" applyAlignment="0" applyProtection="0"/>
    <xf numFmtId="0" fontId="196" fillId="0" borderId="0"/>
  </cellStyleXfs>
  <cellXfs count="549">
    <xf numFmtId="0" fontId="0" fillId="0" borderId="0" xfId="0"/>
    <xf numFmtId="0" fontId="23" fillId="0" borderId="0" xfId="1" applyFont="1" applyAlignment="1">
      <alignment horizontal="left" vertical="top"/>
    </xf>
    <xf numFmtId="245" fontId="185" fillId="0" borderId="0" xfId="1" applyNumberFormat="1" applyFont="1" applyAlignment="1">
      <alignment horizontal="right" vertical="top"/>
    </xf>
    <xf numFmtId="4" fontId="0" fillId="0" borderId="0" xfId="0" applyNumberFormat="1"/>
    <xf numFmtId="43" fontId="0" fillId="0" borderId="0" xfId="8203" applyFont="1"/>
    <xf numFmtId="43" fontId="0" fillId="0" borderId="0" xfId="0" applyNumberFormat="1"/>
    <xf numFmtId="2" fontId="0" fillId="0" borderId="0" xfId="0" applyNumberFormat="1"/>
    <xf numFmtId="9" fontId="0" fillId="0" borderId="0" xfId="8204" applyFont="1"/>
    <xf numFmtId="10" fontId="0" fillId="0" borderId="0" xfId="8204" applyNumberFormat="1" applyFont="1"/>
    <xf numFmtId="245" fontId="193" fillId="0" borderId="0" xfId="1" applyNumberFormat="1" applyFont="1" applyAlignment="1">
      <alignment horizontal="left"/>
    </xf>
    <xf numFmtId="245" fontId="193" fillId="0" borderId="0" xfId="1" applyNumberFormat="1" applyFont="1" applyAlignment="1">
      <alignment horizontal="right" vertical="top"/>
    </xf>
    <xf numFmtId="0" fontId="3" fillId="0" borderId="0" xfId="8205"/>
    <xf numFmtId="246" fontId="194" fillId="0" borderId="0" xfId="8205" applyNumberFormat="1" applyFont="1" applyAlignment="1">
      <alignment wrapText="1"/>
    </xf>
    <xf numFmtId="246" fontId="195" fillId="0" borderId="0" xfId="8205" applyNumberFormat="1" applyFont="1" applyAlignment="1">
      <alignment wrapText="1"/>
    </xf>
    <xf numFmtId="0" fontId="195" fillId="0" borderId="0" xfId="8205" applyFont="1" applyAlignment="1">
      <alignment horizontal="left" wrapText="1"/>
    </xf>
    <xf numFmtId="247" fontId="194" fillId="0" borderId="0" xfId="8205" applyNumberFormat="1" applyFont="1" applyAlignment="1">
      <alignment wrapText="1"/>
    </xf>
    <xf numFmtId="247" fontId="195" fillId="0" borderId="0" xfId="8205" applyNumberFormat="1" applyFont="1" applyAlignment="1">
      <alignment wrapText="1"/>
    </xf>
    <xf numFmtId="246" fontId="194" fillId="0" borderId="73" xfId="8205" applyNumberFormat="1" applyFont="1" applyBorder="1" applyAlignment="1">
      <alignment wrapText="1"/>
    </xf>
    <xf numFmtId="246" fontId="195" fillId="0" borderId="73" xfId="8205" applyNumberFormat="1" applyFont="1" applyBorder="1" applyAlignment="1">
      <alignment wrapText="1"/>
    </xf>
    <xf numFmtId="0" fontId="194" fillId="0" borderId="73" xfId="8205" applyFont="1" applyBorder="1" applyAlignment="1">
      <alignment horizontal="left" wrapText="1"/>
    </xf>
    <xf numFmtId="246" fontId="194" fillId="0" borderId="74" xfId="8205" applyNumberFormat="1" applyFont="1" applyBorder="1" applyAlignment="1">
      <alignment wrapText="1"/>
    </xf>
    <xf numFmtId="246" fontId="195" fillId="0" borderId="74" xfId="8205" applyNumberFormat="1" applyFont="1" applyBorder="1" applyAlignment="1">
      <alignment wrapText="1"/>
    </xf>
    <xf numFmtId="0" fontId="195" fillId="0" borderId="74" xfId="8205" applyFont="1" applyBorder="1" applyAlignment="1">
      <alignment horizontal="left" wrapText="1"/>
    </xf>
    <xf numFmtId="0" fontId="195" fillId="0" borderId="73" xfId="8205" applyFont="1" applyBorder="1" applyAlignment="1">
      <alignment horizontal="left" wrapText="1"/>
    </xf>
    <xf numFmtId="248" fontId="194" fillId="0" borderId="74" xfId="8205" applyNumberFormat="1" applyFont="1" applyBorder="1" applyAlignment="1">
      <alignment horizontal="right" wrapText="1"/>
    </xf>
    <xf numFmtId="0" fontId="194" fillId="0" borderId="74" xfId="8205" applyFont="1" applyBorder="1" applyAlignment="1">
      <alignment horizontal="left" wrapText="1"/>
    </xf>
    <xf numFmtId="0" fontId="196" fillId="0" borderId="73" xfId="8205" applyFont="1" applyBorder="1" applyAlignment="1">
      <alignment wrapText="1"/>
    </xf>
    <xf numFmtId="0" fontId="197" fillId="0" borderId="0" xfId="8205" applyFont="1" applyAlignment="1">
      <alignment horizontal="left" wrapText="1"/>
    </xf>
    <xf numFmtId="0" fontId="194" fillId="0" borderId="0" xfId="8205" applyFont="1" applyAlignment="1">
      <alignment horizontal="left" wrapText="1"/>
    </xf>
    <xf numFmtId="0" fontId="196" fillId="0" borderId="0" xfId="8206">
      <alignment wrapText="1"/>
    </xf>
    <xf numFmtId="249" fontId="194" fillId="0" borderId="74" xfId="8205" applyNumberFormat="1" applyFont="1" applyBorder="1" applyAlignment="1">
      <alignment horizontal="right" wrapText="1"/>
    </xf>
    <xf numFmtId="0" fontId="196" fillId="0" borderId="0" xfId="8205" applyFont="1" applyAlignment="1">
      <alignment wrapText="1"/>
    </xf>
    <xf numFmtId="0" fontId="196" fillId="0" borderId="73" xfId="8205" applyFont="1" applyBorder="1" applyAlignment="1">
      <alignment horizontal="left" wrapText="1"/>
    </xf>
    <xf numFmtId="0" fontId="197" fillId="0" borderId="0" xfId="8205" applyFont="1" applyAlignment="1">
      <alignment horizontal="left" vertical="center" wrapText="1"/>
    </xf>
    <xf numFmtId="0" fontId="200" fillId="0" borderId="0" xfId="8205" applyFont="1" applyAlignment="1">
      <alignment horizontal="left" wrapText="1"/>
    </xf>
    <xf numFmtId="0" fontId="195" fillId="0" borderId="74" xfId="8205" applyFont="1" applyBorder="1" applyAlignment="1">
      <alignment horizontal="left" wrapText="1" indent="4"/>
    </xf>
    <xf numFmtId="0" fontId="195" fillId="0" borderId="0" xfId="8205" applyFont="1" applyAlignment="1">
      <alignment horizontal="left" wrapText="1" indent="4"/>
    </xf>
    <xf numFmtId="0" fontId="195" fillId="0" borderId="0" xfId="8205" applyFont="1" applyAlignment="1">
      <alignment horizontal="left" wrapText="1" indent="2"/>
    </xf>
    <xf numFmtId="249" fontId="194" fillId="0" borderId="74" xfId="0" applyNumberFormat="1" applyFont="1" applyBorder="1" applyAlignment="1">
      <alignment horizontal="right" wrapText="1"/>
    </xf>
    <xf numFmtId="0" fontId="196" fillId="0" borderId="73" xfId="0" applyFont="1" applyBorder="1" applyAlignment="1">
      <alignment wrapText="1"/>
    </xf>
    <xf numFmtId="246" fontId="195" fillId="0" borderId="0" xfId="0" applyNumberFormat="1" applyFont="1" applyAlignment="1">
      <alignment wrapText="1"/>
    </xf>
    <xf numFmtId="246" fontId="195" fillId="0" borderId="74" xfId="0" applyNumberFormat="1" applyFont="1" applyBorder="1" applyAlignment="1">
      <alignment wrapText="1"/>
    </xf>
    <xf numFmtId="246" fontId="195" fillId="0" borderId="73" xfId="0" applyNumberFormat="1" applyFont="1" applyBorder="1" applyAlignment="1">
      <alignment wrapText="1"/>
    </xf>
    <xf numFmtId="0" fontId="194" fillId="0" borderId="74" xfId="0" applyFont="1" applyBorder="1" applyAlignment="1">
      <alignment horizontal="left" wrapText="1"/>
    </xf>
    <xf numFmtId="0" fontId="194" fillId="0" borderId="74" xfId="0" applyFont="1" applyBorder="1" applyAlignment="1">
      <alignment horizontal="right" wrapText="1"/>
    </xf>
    <xf numFmtId="0" fontId="194" fillId="0" borderId="73" xfId="0" applyFont="1" applyBorder="1" applyAlignment="1">
      <alignment horizontal="left" wrapText="1"/>
    </xf>
    <xf numFmtId="246" fontId="194" fillId="0" borderId="73" xfId="0" applyNumberFormat="1" applyFont="1" applyBorder="1" applyAlignment="1">
      <alignment wrapText="1"/>
    </xf>
    <xf numFmtId="0" fontId="194" fillId="0" borderId="0" xfId="0" applyFont="1" applyAlignment="1">
      <alignment horizontal="left" wrapText="1"/>
    </xf>
    <xf numFmtId="246" fontId="194" fillId="0" borderId="0" xfId="0" applyNumberFormat="1" applyFont="1" applyAlignment="1">
      <alignment wrapText="1"/>
    </xf>
    <xf numFmtId="0" fontId="195" fillId="0" borderId="0" xfId="0" applyFont="1" applyAlignment="1">
      <alignment horizontal="left" wrapText="1"/>
    </xf>
    <xf numFmtId="0" fontId="195" fillId="0" borderId="74" xfId="0" applyFont="1" applyBorder="1" applyAlignment="1">
      <alignment horizontal="left" wrapText="1"/>
    </xf>
    <xf numFmtId="246" fontId="194" fillId="0" borderId="74" xfId="0" applyNumberFormat="1" applyFont="1" applyBorder="1" applyAlignment="1">
      <alignment wrapText="1"/>
    </xf>
    <xf numFmtId="248" fontId="194" fillId="0" borderId="74" xfId="0" applyNumberFormat="1" applyFont="1" applyBorder="1" applyAlignment="1">
      <alignment horizontal="right" wrapText="1"/>
    </xf>
    <xf numFmtId="247" fontId="195" fillId="0" borderId="0" xfId="0" applyNumberFormat="1" applyFont="1" applyAlignment="1">
      <alignment wrapText="1"/>
    </xf>
    <xf numFmtId="9" fontId="0" fillId="0" borderId="0" xfId="0" applyNumberFormat="1"/>
    <xf numFmtId="0" fontId="196" fillId="0" borderId="0" xfId="0" applyFont="1" applyAlignment="1">
      <alignment wrapText="1"/>
    </xf>
    <xf numFmtId="0" fontId="203" fillId="0" borderId="0" xfId="0" applyFont="1"/>
    <xf numFmtId="0" fontId="3" fillId="0" borderId="0" xfId="0" applyFont="1"/>
    <xf numFmtId="0" fontId="22" fillId="0" borderId="0" xfId="8205" applyFont="1"/>
    <xf numFmtId="239" fontId="3" fillId="0" borderId="0" xfId="8205" applyNumberFormat="1"/>
    <xf numFmtId="9" fontId="3" fillId="0" borderId="0" xfId="8204" applyFont="1"/>
    <xf numFmtId="0" fontId="114" fillId="0" borderId="0" xfId="0" applyFont="1"/>
    <xf numFmtId="10" fontId="99" fillId="0" borderId="0" xfId="8204" applyNumberFormat="1" applyFont="1"/>
    <xf numFmtId="10" fontId="0" fillId="0" borderId="0" xfId="0" applyNumberFormat="1"/>
    <xf numFmtId="0" fontId="204" fillId="0" borderId="0" xfId="0" applyFont="1"/>
    <xf numFmtId="165" fontId="0" fillId="0" borderId="0" xfId="0" applyNumberFormat="1"/>
    <xf numFmtId="0" fontId="0" fillId="0" borderId="0" xfId="0" applyAlignment="1">
      <alignment horizontal="center"/>
    </xf>
    <xf numFmtId="0" fontId="0" fillId="0" borderId="14" xfId="0" applyBorder="1" applyAlignment="1">
      <alignment horizontal="center"/>
    </xf>
    <xf numFmtId="0" fontId="115" fillId="0" borderId="0" xfId="0" applyFont="1" applyAlignment="1">
      <alignment horizontal="center"/>
    </xf>
    <xf numFmtId="0" fontId="212" fillId="0" borderId="0" xfId="0" applyFont="1"/>
    <xf numFmtId="0" fontId="207" fillId="0" borderId="0" xfId="0" applyFont="1"/>
    <xf numFmtId="0" fontId="206" fillId="0" borderId="0" xfId="0" applyFont="1" applyAlignment="1">
      <alignment horizontal="center"/>
    </xf>
    <xf numFmtId="0" fontId="207" fillId="0" borderId="0" xfId="0" applyFont="1" applyAlignment="1">
      <alignment horizontal="center"/>
    </xf>
    <xf numFmtId="43" fontId="3" fillId="0" borderId="0" xfId="8205" applyNumberFormat="1"/>
    <xf numFmtId="9" fontId="195" fillId="0" borderId="0" xfId="8204" applyFont="1" applyAlignment="1">
      <alignment wrapText="1"/>
    </xf>
    <xf numFmtId="10" fontId="195" fillId="0" borderId="0" xfId="8204" applyNumberFormat="1" applyFont="1" applyAlignment="1">
      <alignment wrapText="1"/>
    </xf>
    <xf numFmtId="10" fontId="3" fillId="0" borderId="0" xfId="8205" applyNumberFormat="1"/>
    <xf numFmtId="9" fontId="3" fillId="0" borderId="0" xfId="8205" applyNumberFormat="1"/>
    <xf numFmtId="2" fontId="3" fillId="0" borderId="0" xfId="8205" applyNumberFormat="1"/>
    <xf numFmtId="168" fontId="3" fillId="0" borderId="0" xfId="8204" applyNumberFormat="1" applyFont="1"/>
    <xf numFmtId="10" fontId="3" fillId="0" borderId="0" xfId="8204" applyNumberFormat="1" applyFont="1"/>
    <xf numFmtId="0" fontId="204" fillId="0" borderId="0" xfId="0" applyFont="1" applyAlignment="1">
      <alignment wrapText="1"/>
    </xf>
    <xf numFmtId="0" fontId="123" fillId="0" borderId="0" xfId="0" applyFont="1" applyAlignment="1">
      <alignment wrapText="1"/>
    </xf>
    <xf numFmtId="0" fontId="219" fillId="0" borderId="0" xfId="0" applyFont="1" applyAlignment="1">
      <alignment wrapText="1"/>
    </xf>
    <xf numFmtId="10" fontId="204" fillId="0" borderId="0" xfId="0" applyNumberFormat="1" applyFont="1"/>
    <xf numFmtId="9" fontId="204" fillId="0" borderId="0" xfId="0" applyNumberFormat="1" applyFont="1"/>
    <xf numFmtId="0" fontId="220" fillId="0" borderId="0" xfId="0" applyFont="1"/>
    <xf numFmtId="1" fontId="204" fillId="0" borderId="0" xfId="0" applyNumberFormat="1" applyFont="1"/>
    <xf numFmtId="250" fontId="204" fillId="0" borderId="0" xfId="0" applyNumberFormat="1" applyFont="1"/>
    <xf numFmtId="168" fontId="204" fillId="0" borderId="0" xfId="0" applyNumberFormat="1" applyFont="1"/>
    <xf numFmtId="239" fontId="3" fillId="0" borderId="0" xfId="0" applyNumberFormat="1" applyFont="1"/>
    <xf numFmtId="251" fontId="0" fillId="0" borderId="0" xfId="0" applyNumberFormat="1"/>
    <xf numFmtId="251" fontId="204" fillId="0" borderId="0" xfId="0" applyNumberFormat="1" applyFont="1"/>
    <xf numFmtId="251" fontId="220" fillId="0" borderId="0" xfId="0" applyNumberFormat="1" applyFont="1"/>
    <xf numFmtId="0" fontId="207" fillId="0" borderId="0" xfId="0" quotePrefix="1" applyFont="1" applyAlignment="1">
      <alignment horizontal="center"/>
    </xf>
    <xf numFmtId="251" fontId="195" fillId="0" borderId="0" xfId="0" applyNumberFormat="1" applyFont="1" applyAlignment="1">
      <alignment wrapText="1"/>
    </xf>
    <xf numFmtId="251" fontId="195" fillId="0" borderId="0" xfId="8205" applyNumberFormat="1" applyFont="1" applyAlignment="1">
      <alignment wrapText="1"/>
    </xf>
    <xf numFmtId="251" fontId="194" fillId="0" borderId="0" xfId="8205" applyNumberFormat="1" applyFont="1" applyAlignment="1">
      <alignment wrapText="1"/>
    </xf>
    <xf numFmtId="251" fontId="3" fillId="0" borderId="0" xfId="8205" applyNumberFormat="1"/>
    <xf numFmtId="0" fontId="188" fillId="0" borderId="0" xfId="0" applyFont="1"/>
    <xf numFmtId="0" fontId="222" fillId="101" borderId="0" xfId="2268" applyFont="1" applyFill="1"/>
    <xf numFmtId="252" fontId="222" fillId="101" borderId="0" xfId="2268" applyNumberFormat="1" applyFont="1" applyFill="1"/>
    <xf numFmtId="9" fontId="222" fillId="101" borderId="0" xfId="2268" applyNumberFormat="1" applyFont="1" applyFill="1"/>
    <xf numFmtId="10" fontId="222" fillId="101" borderId="0" xfId="2268" applyNumberFormat="1" applyFont="1" applyFill="1"/>
    <xf numFmtId="0" fontId="223" fillId="102" borderId="0" xfId="2268" applyFont="1" applyFill="1"/>
    <xf numFmtId="10" fontId="223" fillId="102" borderId="0" xfId="2268" applyNumberFormat="1" applyFont="1" applyFill="1"/>
    <xf numFmtId="0" fontId="223" fillId="101" borderId="28" xfId="2268" applyFont="1" applyFill="1" applyBorder="1"/>
    <xf numFmtId="0" fontId="2" fillId="0" borderId="0" xfId="8208"/>
    <xf numFmtId="14" fontId="2" fillId="0" borderId="0" xfId="8208" applyNumberFormat="1"/>
    <xf numFmtId="0" fontId="237" fillId="0" borderId="0" xfId="8209"/>
    <xf numFmtId="0" fontId="0" fillId="0" borderId="0" xfId="0" applyAlignment="1">
      <alignment horizontal="center" vertical="center"/>
    </xf>
    <xf numFmtId="0" fontId="239" fillId="0" borderId="0" xfId="8210"/>
    <xf numFmtId="3" fontId="242" fillId="0" borderId="0" xfId="0" applyNumberFormat="1" applyFont="1"/>
    <xf numFmtId="4" fontId="2" fillId="0" borderId="0" xfId="8208" applyNumberFormat="1"/>
    <xf numFmtId="250" fontId="222" fillId="101" borderId="0" xfId="2268" applyNumberFormat="1" applyFont="1" applyFill="1"/>
    <xf numFmtId="9" fontId="243" fillId="0" borderId="0" xfId="0" applyNumberFormat="1" applyFont="1" applyAlignment="1">
      <alignment wrapText="1"/>
    </xf>
    <xf numFmtId="0" fontId="243" fillId="0" borderId="0" xfId="0" applyFont="1" applyAlignment="1">
      <alignment wrapText="1"/>
    </xf>
    <xf numFmtId="0" fontId="244" fillId="0" borderId="0" xfId="0" applyFont="1" applyAlignment="1">
      <alignment wrapText="1"/>
    </xf>
    <xf numFmtId="0" fontId="246" fillId="0" borderId="0" xfId="8205" applyFont="1"/>
    <xf numFmtId="0" fontId="188" fillId="107" borderId="14" xfId="0" applyFont="1" applyFill="1" applyBorder="1"/>
    <xf numFmtId="0" fontId="187" fillId="107" borderId="80" xfId="0" applyFont="1" applyFill="1" applyBorder="1"/>
    <xf numFmtId="0" fontId="188" fillId="107" borderId="81" xfId="0" applyFont="1" applyFill="1" applyBorder="1"/>
    <xf numFmtId="0" fontId="187" fillId="106" borderId="82" xfId="0" applyFont="1" applyFill="1" applyBorder="1"/>
    <xf numFmtId="0" fontId="188" fillId="107" borderId="83" xfId="0" applyFont="1" applyFill="1" applyBorder="1"/>
    <xf numFmtId="0" fontId="188" fillId="107" borderId="0" xfId="0" applyFont="1" applyFill="1"/>
    <xf numFmtId="0" fontId="188" fillId="106" borderId="84" xfId="0" applyFont="1" applyFill="1" applyBorder="1"/>
    <xf numFmtId="217" fontId="188" fillId="106" borderId="84" xfId="8203" applyNumberFormat="1" applyFont="1" applyFill="1" applyBorder="1"/>
    <xf numFmtId="217" fontId="188" fillId="106" borderId="84" xfId="0" applyNumberFormat="1" applyFont="1" applyFill="1" applyBorder="1"/>
    <xf numFmtId="3" fontId="187" fillId="106" borderId="84" xfId="0" applyNumberFormat="1" applyFont="1" applyFill="1" applyBorder="1"/>
    <xf numFmtId="0" fontId="188" fillId="107" borderId="85" xfId="0" applyFont="1" applyFill="1" applyBorder="1"/>
    <xf numFmtId="217" fontId="188" fillId="106" borderId="86" xfId="0" applyNumberFormat="1" applyFont="1" applyFill="1" applyBorder="1"/>
    <xf numFmtId="0" fontId="187" fillId="107" borderId="83" xfId="0" applyFont="1" applyFill="1" applyBorder="1"/>
    <xf numFmtId="0" fontId="187" fillId="107" borderId="0" xfId="0" applyFont="1" applyFill="1"/>
    <xf numFmtId="10" fontId="187" fillId="106" borderId="84" xfId="8204" applyNumberFormat="1" applyFont="1" applyFill="1" applyBorder="1"/>
    <xf numFmtId="10" fontId="188" fillId="106" borderId="84" xfId="8204" applyNumberFormat="1" applyFont="1" applyFill="1" applyBorder="1"/>
    <xf numFmtId="10" fontId="188" fillId="106" borderId="84" xfId="0" applyNumberFormat="1" applyFont="1" applyFill="1" applyBorder="1"/>
    <xf numFmtId="10" fontId="187" fillId="106" borderId="84" xfId="0" applyNumberFormat="1" applyFont="1" applyFill="1" applyBorder="1"/>
    <xf numFmtId="0" fontId="187" fillId="107" borderId="87" xfId="0" applyFont="1" applyFill="1" applyBorder="1"/>
    <xf numFmtId="0" fontId="187" fillId="107" borderId="36" xfId="0" applyFont="1" applyFill="1" applyBorder="1"/>
    <xf numFmtId="10" fontId="187" fillId="106" borderId="88" xfId="8204" applyNumberFormat="1" applyFont="1" applyFill="1" applyBorder="1"/>
    <xf numFmtId="0" fontId="105" fillId="104" borderId="89" xfId="0" applyFont="1" applyFill="1" applyBorder="1"/>
    <xf numFmtId="0" fontId="105" fillId="104" borderId="35" xfId="0" applyFont="1" applyFill="1" applyBorder="1"/>
    <xf numFmtId="0" fontId="105" fillId="104" borderId="90" xfId="0" applyFont="1" applyFill="1" applyBorder="1"/>
    <xf numFmtId="0" fontId="105" fillId="104" borderId="83" xfId="0" applyFont="1" applyFill="1" applyBorder="1"/>
    <xf numFmtId="0" fontId="249" fillId="104" borderId="0" xfId="0" applyFont="1" applyFill="1"/>
    <xf numFmtId="0" fontId="105" fillId="104" borderId="84" xfId="0" applyFont="1" applyFill="1" applyBorder="1"/>
    <xf numFmtId="0" fontId="105" fillId="104" borderId="87" xfId="0" applyFont="1" applyFill="1" applyBorder="1"/>
    <xf numFmtId="0" fontId="105" fillId="104" borderId="36" xfId="0" applyFont="1" applyFill="1" applyBorder="1"/>
    <xf numFmtId="0" fontId="105" fillId="104" borderId="88" xfId="0" applyFont="1" applyFill="1" applyBorder="1"/>
    <xf numFmtId="0" fontId="114" fillId="107" borderId="89" xfId="0" applyFont="1" applyFill="1" applyBorder="1"/>
    <xf numFmtId="0" fontId="206" fillId="107" borderId="83" xfId="0" applyFont="1" applyFill="1" applyBorder="1"/>
    <xf numFmtId="0" fontId="0" fillId="107" borderId="83" xfId="0" applyFill="1" applyBorder="1"/>
    <xf numFmtId="251" fontId="0" fillId="106" borderId="0" xfId="0" applyNumberFormat="1" applyFill="1"/>
    <xf numFmtId="251" fontId="0" fillId="106" borderId="84" xfId="0" applyNumberFormat="1" applyFill="1" applyBorder="1"/>
    <xf numFmtId="0" fontId="0" fillId="107" borderId="85" xfId="0" applyFill="1" applyBorder="1" applyAlignment="1">
      <alignment wrapText="1"/>
    </xf>
    <xf numFmtId="0" fontId="0" fillId="106" borderId="0" xfId="0" applyFill="1"/>
    <xf numFmtId="0" fontId="0" fillId="106" borderId="84" xfId="0" applyFill="1" applyBorder="1"/>
    <xf numFmtId="0" fontId="205" fillId="107" borderId="83" xfId="0" applyFont="1" applyFill="1" applyBorder="1"/>
    <xf numFmtId="0" fontId="0" fillId="107" borderId="83" xfId="0" applyFill="1" applyBorder="1" applyAlignment="1">
      <alignment wrapText="1"/>
    </xf>
    <xf numFmtId="0" fontId="187" fillId="107" borderId="83" xfId="0" applyFont="1" applyFill="1" applyBorder="1" applyAlignment="1">
      <alignment wrapText="1"/>
    </xf>
    <xf numFmtId="0" fontId="0" fillId="107" borderId="87" xfId="0" applyFill="1" applyBorder="1"/>
    <xf numFmtId="251" fontId="0" fillId="106" borderId="36" xfId="0" applyNumberFormat="1" applyFill="1" applyBorder="1"/>
    <xf numFmtId="251" fontId="0" fillId="106" borderId="88" xfId="0" applyNumberFormat="1" applyFill="1" applyBorder="1"/>
    <xf numFmtId="0" fontId="114" fillId="107" borderId="91" xfId="0" applyFont="1" applyFill="1" applyBorder="1" applyAlignment="1">
      <alignment horizontal="center" vertical="center"/>
    </xf>
    <xf numFmtId="10" fontId="114" fillId="107" borderId="92" xfId="0" applyNumberFormat="1" applyFont="1" applyFill="1" applyBorder="1" applyAlignment="1">
      <alignment horizontal="center" vertical="center"/>
    </xf>
    <xf numFmtId="10" fontId="114" fillId="107" borderId="92" xfId="8204" applyNumberFormat="1" applyFont="1" applyFill="1" applyBorder="1" applyAlignment="1">
      <alignment horizontal="center" vertical="center"/>
    </xf>
    <xf numFmtId="0" fontId="0" fillId="107" borderId="89" xfId="0" applyFill="1" applyBorder="1"/>
    <xf numFmtId="0" fontId="115" fillId="107" borderId="83" xfId="0" applyFont="1" applyFill="1" applyBorder="1"/>
    <xf numFmtId="0" fontId="211" fillId="107" borderId="83" xfId="0" applyFont="1" applyFill="1" applyBorder="1"/>
    <xf numFmtId="0" fontId="187" fillId="107" borderId="83" xfId="0" applyFont="1" applyFill="1" applyBorder="1" applyAlignment="1">
      <alignment vertical="center" wrapText="1"/>
    </xf>
    <xf numFmtId="10" fontId="0" fillId="106" borderId="0" xfId="0" applyNumberFormat="1" applyFill="1"/>
    <xf numFmtId="10" fontId="0" fillId="106" borderId="84" xfId="0" applyNumberFormat="1" applyFill="1" applyBorder="1"/>
    <xf numFmtId="2" fontId="0" fillId="106" borderId="84" xfId="0" applyNumberFormat="1" applyFill="1" applyBorder="1"/>
    <xf numFmtId="10" fontId="0" fillId="108" borderId="84" xfId="0" applyNumberFormat="1" applyFill="1" applyBorder="1"/>
    <xf numFmtId="0" fontId="114" fillId="107" borderId="87" xfId="0" applyFont="1" applyFill="1" applyBorder="1"/>
    <xf numFmtId="251" fontId="114" fillId="106" borderId="36" xfId="0" applyNumberFormat="1" applyFont="1" applyFill="1" applyBorder="1"/>
    <xf numFmtId="251" fontId="114" fillId="106" borderId="88" xfId="0" applyNumberFormat="1" applyFont="1" applyFill="1" applyBorder="1"/>
    <xf numFmtId="0" fontId="0" fillId="106" borderId="90" xfId="0" applyFill="1" applyBorder="1"/>
    <xf numFmtId="43" fontId="0" fillId="106" borderId="0" xfId="8203" applyFont="1" applyFill="1" applyBorder="1"/>
    <xf numFmtId="4" fontId="0" fillId="106" borderId="0" xfId="0" applyNumberFormat="1" applyFill="1"/>
    <xf numFmtId="0" fontId="0" fillId="106" borderId="88" xfId="0" applyFill="1" applyBorder="1"/>
    <xf numFmtId="0" fontId="208" fillId="107" borderId="83" xfId="2214" applyFont="1" applyFill="1" applyBorder="1" applyAlignment="1">
      <alignment horizontal="left" vertical="center" wrapText="1"/>
    </xf>
    <xf numFmtId="0" fontId="209" fillId="107" borderId="83" xfId="2214" applyFont="1" applyFill="1" applyBorder="1" applyAlignment="1">
      <alignment horizontal="left" vertical="center" wrapText="1"/>
    </xf>
    <xf numFmtId="0" fontId="210" fillId="107" borderId="83" xfId="2214" applyFont="1" applyFill="1" applyBorder="1" applyAlignment="1">
      <alignment horizontal="left" vertical="center" wrapText="1"/>
    </xf>
    <xf numFmtId="0" fontId="209" fillId="107" borderId="87" xfId="2214" applyFont="1" applyFill="1" applyBorder="1" applyAlignment="1">
      <alignment horizontal="left" vertical="center" wrapText="1"/>
    </xf>
    <xf numFmtId="0" fontId="207" fillId="107" borderId="85" xfId="0" applyFont="1" applyFill="1" applyBorder="1"/>
    <xf numFmtId="0" fontId="207" fillId="107" borderId="83" xfId="0" applyFont="1" applyFill="1" applyBorder="1"/>
    <xf numFmtId="0" fontId="207" fillId="107" borderId="87" xfId="0" applyFont="1" applyFill="1" applyBorder="1"/>
    <xf numFmtId="0" fontId="254" fillId="107" borderId="83" xfId="0" applyFont="1" applyFill="1" applyBorder="1"/>
    <xf numFmtId="0" fontId="214" fillId="107" borderId="83" xfId="2214" applyFont="1" applyFill="1" applyBorder="1" applyAlignment="1">
      <alignment horizontal="left" vertical="center" wrapText="1"/>
    </xf>
    <xf numFmtId="0" fontId="2" fillId="107" borderId="83" xfId="0" applyFont="1" applyFill="1" applyBorder="1"/>
    <xf numFmtId="0" fontId="215" fillId="107" borderId="83" xfId="2214" applyFont="1" applyFill="1" applyBorder="1" applyAlignment="1">
      <alignment horizontal="left" vertical="center" wrapText="1"/>
    </xf>
    <xf numFmtId="0" fontId="214" fillId="107" borderId="87" xfId="2214" applyFont="1" applyFill="1" applyBorder="1" applyAlignment="1">
      <alignment horizontal="left" vertical="center" wrapText="1"/>
    </xf>
    <xf numFmtId="0" fontId="114" fillId="107" borderId="91" xfId="0" applyFont="1" applyFill="1" applyBorder="1" applyAlignment="1">
      <alignment horizontal="center"/>
    </xf>
    <xf numFmtId="10" fontId="114" fillId="107" borderId="92" xfId="0" applyNumberFormat="1" applyFont="1" applyFill="1" applyBorder="1" applyAlignment="1">
      <alignment horizontal="center"/>
    </xf>
    <xf numFmtId="0" fontId="114" fillId="107" borderId="0" xfId="0" applyFont="1" applyFill="1" applyAlignment="1">
      <alignment horizontal="right"/>
    </xf>
    <xf numFmtId="0" fontId="123" fillId="107" borderId="0" xfId="0" applyFont="1" applyFill="1" applyAlignment="1">
      <alignment horizontal="right"/>
    </xf>
    <xf numFmtId="0" fontId="123" fillId="107" borderId="84" xfId="0" applyFont="1" applyFill="1" applyBorder="1" applyAlignment="1">
      <alignment horizontal="right"/>
    </xf>
    <xf numFmtId="0" fontId="253" fillId="107" borderId="0" xfId="0" applyFont="1" applyFill="1" applyAlignment="1">
      <alignment horizontal="right"/>
    </xf>
    <xf numFmtId="0" fontId="253" fillId="107" borderId="84" xfId="0" applyFont="1" applyFill="1" applyBorder="1" applyAlignment="1">
      <alignment horizontal="right"/>
    </xf>
    <xf numFmtId="0" fontId="114" fillId="107" borderId="0" xfId="0" applyFont="1" applyFill="1" applyAlignment="1">
      <alignment horizontal="right" vertical="center"/>
    </xf>
    <xf numFmtId="0" fontId="123" fillId="107" borderId="0" xfId="0" applyFont="1" applyFill="1" applyAlignment="1">
      <alignment horizontal="right" vertical="center"/>
    </xf>
    <xf numFmtId="0" fontId="123" fillId="107" borderId="84" xfId="0" applyFont="1" applyFill="1" applyBorder="1" applyAlignment="1">
      <alignment horizontal="right" vertical="center"/>
    </xf>
    <xf numFmtId="0" fontId="0" fillId="107" borderId="0" xfId="0" applyFill="1"/>
    <xf numFmtId="0" fontId="114" fillId="107" borderId="83" xfId="0" applyFont="1" applyFill="1" applyBorder="1"/>
    <xf numFmtId="0" fontId="114" fillId="107" borderId="35" xfId="0" applyFont="1" applyFill="1" applyBorder="1" applyAlignment="1">
      <alignment horizontal="right" vertical="center"/>
    </xf>
    <xf numFmtId="0" fontId="123" fillId="107" borderId="35" xfId="0" applyFont="1" applyFill="1" applyBorder="1" applyAlignment="1">
      <alignment horizontal="right" vertical="center"/>
    </xf>
    <xf numFmtId="0" fontId="123" fillId="107" borderId="90" xfId="0" applyFont="1" applyFill="1" applyBorder="1" applyAlignment="1">
      <alignment horizontal="right" vertical="center"/>
    </xf>
    <xf numFmtId="251" fontId="114" fillId="106" borderId="35" xfId="0" applyNumberFormat="1" applyFont="1" applyFill="1" applyBorder="1"/>
    <xf numFmtId="251" fontId="114" fillId="106" borderId="0" xfId="8203" applyNumberFormat="1" applyFont="1" applyFill="1" applyBorder="1"/>
    <xf numFmtId="251" fontId="204" fillId="106" borderId="0" xfId="0" applyNumberFormat="1" applyFont="1" applyFill="1"/>
    <xf numFmtId="251" fontId="204" fillId="106" borderId="84" xfId="0" applyNumberFormat="1" applyFont="1" applyFill="1" applyBorder="1"/>
    <xf numFmtId="251" fontId="220" fillId="106" borderId="36" xfId="0" applyNumberFormat="1" applyFont="1" applyFill="1" applyBorder="1"/>
    <xf numFmtId="251" fontId="220" fillId="106" borderId="88" xfId="0" applyNumberFormat="1" applyFont="1" applyFill="1" applyBorder="1"/>
    <xf numFmtId="0" fontId="114" fillId="107" borderId="35" xfId="0" applyFont="1" applyFill="1" applyBorder="1" applyAlignment="1">
      <alignment horizontal="right"/>
    </xf>
    <xf numFmtId="0" fontId="123" fillId="107" borderId="35" xfId="0" applyFont="1" applyFill="1" applyBorder="1" applyAlignment="1">
      <alignment horizontal="right"/>
    </xf>
    <xf numFmtId="0" fontId="123" fillId="107" borderId="90" xfId="0" applyFont="1" applyFill="1" applyBorder="1" applyAlignment="1">
      <alignment horizontal="right"/>
    </xf>
    <xf numFmtId="0" fontId="0" fillId="106" borderId="36" xfId="0" applyFill="1" applyBorder="1"/>
    <xf numFmtId="0" fontId="220" fillId="106" borderId="36" xfId="0" applyFont="1" applyFill="1" applyBorder="1"/>
    <xf numFmtId="0" fontId="220" fillId="106" borderId="88" xfId="0" applyFont="1" applyFill="1" applyBorder="1"/>
    <xf numFmtId="251" fontId="0" fillId="106" borderId="36" xfId="8203" applyNumberFormat="1" applyFont="1" applyFill="1" applyBorder="1"/>
    <xf numFmtId="0" fontId="114" fillId="107" borderId="94" xfId="0" applyFont="1" applyFill="1" applyBorder="1" applyAlignment="1">
      <alignment horizontal="right"/>
    </xf>
    <xf numFmtId="251" fontId="0" fillId="106" borderId="94" xfId="0" applyNumberFormat="1" applyFill="1" applyBorder="1"/>
    <xf numFmtId="251" fontId="0" fillId="106" borderId="95" xfId="0" applyNumberFormat="1" applyFill="1" applyBorder="1"/>
    <xf numFmtId="0" fontId="114" fillId="107" borderId="93" xfId="0" applyFont="1" applyFill="1" applyBorder="1" applyAlignment="1">
      <alignment horizontal="right"/>
    </xf>
    <xf numFmtId="0" fontId="0" fillId="106" borderId="94" xfId="0" applyFill="1" applyBorder="1"/>
    <xf numFmtId="0" fontId="0" fillId="106" borderId="95" xfId="0" applyFill="1" applyBorder="1"/>
    <xf numFmtId="43" fontId="0" fillId="106" borderId="0" xfId="0" applyNumberFormat="1" applyFill="1"/>
    <xf numFmtId="43" fontId="0" fillId="106" borderId="84" xfId="0" applyNumberFormat="1" applyFill="1" applyBorder="1"/>
    <xf numFmtId="0" fontId="0" fillId="107" borderId="83" xfId="0" applyFill="1" applyBorder="1" applyAlignment="1">
      <alignment horizontal="right"/>
    </xf>
    <xf numFmtId="10" fontId="0" fillId="106" borderId="0" xfId="8204" applyNumberFormat="1" applyFont="1" applyFill="1" applyBorder="1"/>
    <xf numFmtId="10" fontId="0" fillId="106" borderId="84" xfId="8204" applyNumberFormat="1" applyFont="1" applyFill="1" applyBorder="1"/>
    <xf numFmtId="9" fontId="0" fillId="106" borderId="0" xfId="8204" applyFont="1" applyFill="1" applyBorder="1"/>
    <xf numFmtId="9" fontId="0" fillId="106" borderId="84" xfId="8204" applyFont="1" applyFill="1" applyBorder="1"/>
    <xf numFmtId="43" fontId="0" fillId="106" borderId="84" xfId="8203" applyFont="1" applyFill="1" applyBorder="1"/>
    <xf numFmtId="0" fontId="0" fillId="107" borderId="84" xfId="0" applyFill="1" applyBorder="1"/>
    <xf numFmtId="245" fontId="186" fillId="107" borderId="83" xfId="1" applyNumberFormat="1" applyFont="1" applyFill="1" applyBorder="1" applyAlignment="1">
      <alignment horizontal="right" vertical="top"/>
    </xf>
    <xf numFmtId="245" fontId="193" fillId="107" borderId="83" xfId="1" applyNumberFormat="1" applyFont="1" applyFill="1" applyBorder="1" applyAlignment="1">
      <alignment horizontal="left"/>
    </xf>
    <xf numFmtId="245" fontId="193" fillId="106" borderId="0" xfId="1" applyNumberFormat="1" applyFont="1" applyFill="1" applyAlignment="1">
      <alignment horizontal="right" vertical="top"/>
    </xf>
    <xf numFmtId="245" fontId="193" fillId="106" borderId="84" xfId="1" applyNumberFormat="1" applyFont="1" applyFill="1" applyBorder="1" applyAlignment="1">
      <alignment horizontal="right" vertical="top"/>
    </xf>
    <xf numFmtId="10" fontId="0" fillId="106" borderId="36" xfId="8204" applyNumberFormat="1" applyFont="1" applyFill="1" applyBorder="1"/>
    <xf numFmtId="10" fontId="0" fillId="106" borderId="88" xfId="8204" applyNumberFormat="1" applyFont="1" applyFill="1" applyBorder="1"/>
    <xf numFmtId="0" fontId="225" fillId="107" borderId="53" xfId="1" applyFont="1" applyFill="1" applyBorder="1" applyAlignment="1">
      <alignment vertical="center"/>
    </xf>
    <xf numFmtId="0" fontId="225" fillId="107" borderId="76" xfId="1" applyFont="1" applyFill="1" applyBorder="1" applyAlignment="1">
      <alignment vertical="center"/>
    </xf>
    <xf numFmtId="250" fontId="225" fillId="106" borderId="53" xfId="1" applyNumberFormat="1" applyFont="1" applyFill="1" applyBorder="1"/>
    <xf numFmtId="10" fontId="225" fillId="106" borderId="0" xfId="8204" applyNumberFormat="1" applyFont="1" applyFill="1" applyBorder="1"/>
    <xf numFmtId="10" fontId="115" fillId="106" borderId="0" xfId="8204" applyNumberFormat="1" applyFont="1" applyFill="1" applyBorder="1" applyAlignment="1">
      <alignment horizontal="center"/>
    </xf>
    <xf numFmtId="10" fontId="226" fillId="106" borderId="0" xfId="8207" applyNumberFormat="1" applyFont="1" applyFill="1" applyBorder="1"/>
    <xf numFmtId="168" fontId="225" fillId="106" borderId="76" xfId="8204" applyNumberFormat="1" applyFont="1" applyFill="1" applyBorder="1" applyAlignment="1">
      <alignment vertical="center"/>
    </xf>
    <xf numFmtId="10" fontId="230" fillId="106" borderId="0" xfId="8204" applyNumberFormat="1" applyFont="1" applyFill="1" applyBorder="1" applyAlignment="1">
      <alignment horizontal="center"/>
    </xf>
    <xf numFmtId="0" fontId="225" fillId="107" borderId="89" xfId="1" applyFont="1" applyFill="1" applyBorder="1" applyAlignment="1">
      <alignment vertical="center" wrapText="1"/>
    </xf>
    <xf numFmtId="0" fontId="226" fillId="107" borderId="35" xfId="1" applyFont="1" applyFill="1" applyBorder="1" applyAlignment="1">
      <alignment vertical="center"/>
    </xf>
    <xf numFmtId="0" fontId="225" fillId="107" borderId="35" xfId="1" applyFont="1" applyFill="1" applyBorder="1" applyAlignment="1">
      <alignment vertical="center"/>
    </xf>
    <xf numFmtId="0" fontId="225" fillId="106" borderId="35" xfId="1" applyFont="1" applyFill="1" applyBorder="1" applyAlignment="1">
      <alignment vertical="center"/>
    </xf>
    <xf numFmtId="0" fontId="225" fillId="107" borderId="83" xfId="1" applyFont="1" applyFill="1" applyBorder="1" applyAlignment="1">
      <alignment vertical="center" wrapText="1"/>
    </xf>
    <xf numFmtId="0" fontId="226" fillId="107" borderId="0" xfId="1" applyFont="1" applyFill="1" applyAlignment="1">
      <alignment vertical="center"/>
    </xf>
    <xf numFmtId="0" fontId="225" fillId="107" borderId="0" xfId="1" applyFont="1" applyFill="1" applyAlignment="1">
      <alignment vertical="center"/>
    </xf>
    <xf numFmtId="2" fontId="225" fillId="106" borderId="0" xfId="1" applyNumberFormat="1" applyFont="1" applyFill="1" applyAlignment="1">
      <alignment vertical="center"/>
    </xf>
    <xf numFmtId="0" fontId="227" fillId="107" borderId="83" xfId="1" applyFont="1" applyFill="1" applyBorder="1" applyAlignment="1">
      <alignment vertical="center"/>
    </xf>
    <xf numFmtId="0" fontId="228" fillId="107" borderId="0" xfId="1" applyFont="1" applyFill="1" applyAlignment="1">
      <alignment vertical="center"/>
    </xf>
    <xf numFmtId="0" fontId="227" fillId="107" borderId="0" xfId="1" applyFont="1" applyFill="1" applyAlignment="1">
      <alignment vertical="center"/>
    </xf>
    <xf numFmtId="0" fontId="227" fillId="106" borderId="0" xfId="1" applyFont="1" applyFill="1" applyAlignment="1">
      <alignment vertical="center"/>
    </xf>
    <xf numFmtId="0" fontId="229" fillId="107" borderId="83" xfId="1" applyFont="1" applyFill="1" applyBorder="1" applyAlignment="1">
      <alignment vertical="center"/>
    </xf>
    <xf numFmtId="0" fontId="229" fillId="107" borderId="0" xfId="1" applyFont="1" applyFill="1" applyAlignment="1">
      <alignment vertical="center"/>
    </xf>
    <xf numFmtId="0" fontId="229" fillId="106" borderId="0" xfId="1" applyFont="1" applyFill="1" applyAlignment="1">
      <alignment vertical="center"/>
    </xf>
    <xf numFmtId="0" fontId="225" fillId="106" borderId="0" xfId="1" applyFont="1" applyFill="1" applyAlignment="1">
      <alignment horizontal="right" vertical="center"/>
    </xf>
    <xf numFmtId="0" fontId="225" fillId="107" borderId="96" xfId="1" applyFont="1" applyFill="1" applyBorder="1"/>
    <xf numFmtId="0" fontId="225" fillId="106" borderId="84" xfId="1" applyFont="1" applyFill="1" applyBorder="1" applyAlignment="1">
      <alignment vertical="center"/>
    </xf>
    <xf numFmtId="0" fontId="225" fillId="107" borderId="83" xfId="1" applyFont="1" applyFill="1" applyBorder="1"/>
    <xf numFmtId="10" fontId="225" fillId="106" borderId="0" xfId="1" applyNumberFormat="1" applyFont="1" applyFill="1"/>
    <xf numFmtId="3" fontId="0" fillId="106" borderId="0" xfId="0" applyNumberFormat="1" applyFill="1"/>
    <xf numFmtId="167" fontId="225" fillId="106" borderId="0" xfId="1" applyNumberFormat="1" applyFont="1" applyFill="1"/>
    <xf numFmtId="0" fontId="226" fillId="107" borderId="83" xfId="1" applyFont="1" applyFill="1" applyBorder="1"/>
    <xf numFmtId="2" fontId="226" fillId="106" borderId="0" xfId="1" applyNumberFormat="1" applyFont="1" applyFill="1"/>
    <xf numFmtId="0" fontId="225" fillId="107" borderId="97" xfId="1" applyFont="1" applyFill="1" applyBorder="1"/>
    <xf numFmtId="0" fontId="225" fillId="107" borderId="87" xfId="1" applyFont="1" applyFill="1" applyBorder="1" applyAlignment="1">
      <alignment vertical="center" wrapText="1"/>
    </xf>
    <xf numFmtId="0" fontId="225" fillId="107" borderId="36" xfId="1" applyFont="1" applyFill="1" applyBorder="1" applyAlignment="1">
      <alignment vertical="center"/>
    </xf>
    <xf numFmtId="10" fontId="232" fillId="102" borderId="36" xfId="8204" applyNumberFormat="1" applyFont="1" applyFill="1" applyBorder="1" applyAlignment="1">
      <alignment vertical="center"/>
    </xf>
    <xf numFmtId="252" fontId="223" fillId="106" borderId="0" xfId="0" applyNumberFormat="1" applyFont="1" applyFill="1" applyAlignment="1">
      <alignment vertical="center" wrapText="1"/>
    </xf>
    <xf numFmtId="10" fontId="204" fillId="106" borderId="75" xfId="0" applyNumberFormat="1" applyFont="1" applyFill="1" applyBorder="1"/>
    <xf numFmtId="0" fontId="0" fillId="106" borderId="75" xfId="0" applyFill="1" applyBorder="1"/>
    <xf numFmtId="0" fontId="204" fillId="106" borderId="75" xfId="0" applyFont="1" applyFill="1" applyBorder="1"/>
    <xf numFmtId="0" fontId="217" fillId="109" borderId="89" xfId="0" applyFont="1" applyFill="1" applyBorder="1" applyAlignment="1">
      <alignment horizontal="left" wrapText="1"/>
    </xf>
    <xf numFmtId="0" fontId="123" fillId="109" borderId="35" xfId="0" applyFont="1" applyFill="1" applyBorder="1" applyAlignment="1">
      <alignment horizontal="right"/>
    </xf>
    <xf numFmtId="0" fontId="123" fillId="109" borderId="90" xfId="0" applyFont="1" applyFill="1" applyBorder="1" applyAlignment="1">
      <alignment horizontal="right"/>
    </xf>
    <xf numFmtId="0" fontId="217" fillId="109" borderId="83" xfId="0" applyFont="1" applyFill="1" applyBorder="1" applyAlignment="1">
      <alignment horizontal="left" wrapText="1"/>
    </xf>
    <xf numFmtId="0" fontId="123" fillId="109" borderId="0" xfId="0" applyFont="1" applyFill="1" applyAlignment="1">
      <alignment horizontal="right"/>
    </xf>
    <xf numFmtId="0" fontId="123" fillId="109" borderId="84" xfId="0" applyFont="1" applyFill="1" applyBorder="1" applyAlignment="1">
      <alignment horizontal="right"/>
    </xf>
    <xf numFmtId="0" fontId="204" fillId="107" borderId="83" xfId="0" applyFont="1" applyFill="1" applyBorder="1" applyAlignment="1">
      <alignment wrapText="1"/>
    </xf>
    <xf numFmtId="10" fontId="204" fillId="106" borderId="0" xfId="0" applyNumberFormat="1" applyFont="1" applyFill="1"/>
    <xf numFmtId="9" fontId="0" fillId="106" borderId="0" xfId="0" applyNumberFormat="1" applyFill="1"/>
    <xf numFmtId="9" fontId="0" fillId="106" borderId="84" xfId="0" applyNumberFormat="1" applyFill="1" applyBorder="1"/>
    <xf numFmtId="10" fontId="204" fillId="106" borderId="84" xfId="0" applyNumberFormat="1" applyFont="1" applyFill="1" applyBorder="1"/>
    <xf numFmtId="0" fontId="204" fillId="107" borderId="98" xfId="0" applyFont="1" applyFill="1" applyBorder="1" applyAlignment="1">
      <alignment wrapText="1"/>
    </xf>
    <xf numFmtId="0" fontId="0" fillId="106" borderId="99" xfId="0" applyFill="1" applyBorder="1"/>
    <xf numFmtId="0" fontId="123" fillId="107" borderId="83" xfId="0" applyFont="1" applyFill="1" applyBorder="1" applyAlignment="1">
      <alignment wrapText="1"/>
    </xf>
    <xf numFmtId="0" fontId="204" fillId="106" borderId="0" xfId="0" applyFont="1" applyFill="1"/>
    <xf numFmtId="250" fontId="204" fillId="106" borderId="0" xfId="0" applyNumberFormat="1" applyFont="1" applyFill="1"/>
    <xf numFmtId="250" fontId="204" fillId="106" borderId="84" xfId="0" applyNumberFormat="1" applyFont="1" applyFill="1" applyBorder="1"/>
    <xf numFmtId="0" fontId="204" fillId="107" borderId="87" xfId="0" applyFont="1" applyFill="1" applyBorder="1" applyAlignment="1">
      <alignment wrapText="1"/>
    </xf>
    <xf numFmtId="9" fontId="204" fillId="106" borderId="36" xfId="0" applyNumberFormat="1" applyFont="1" applyFill="1" applyBorder="1"/>
    <xf numFmtId="10" fontId="204" fillId="106" borderId="36" xfId="0" applyNumberFormat="1" applyFont="1" applyFill="1" applyBorder="1"/>
    <xf numFmtId="9" fontId="0" fillId="106" borderId="36" xfId="0" applyNumberFormat="1" applyFill="1" applyBorder="1"/>
    <xf numFmtId="9" fontId="0" fillId="106" borderId="88" xfId="0" applyNumberFormat="1" applyFill="1" applyBorder="1"/>
    <xf numFmtId="0" fontId="0" fillId="102" borderId="92" xfId="0" applyFill="1" applyBorder="1"/>
    <xf numFmtId="9" fontId="0" fillId="110" borderId="92" xfId="0" applyNumberFormat="1" applyFill="1" applyBorder="1"/>
    <xf numFmtId="9" fontId="105" fillId="103" borderId="0" xfId="0" applyNumberFormat="1" applyFont="1" applyFill="1" applyAlignment="1">
      <alignment horizontal="center"/>
    </xf>
    <xf numFmtId="9" fontId="105" fillId="103" borderId="0" xfId="0" applyNumberFormat="1" applyFont="1" applyFill="1"/>
    <xf numFmtId="251" fontId="255" fillId="103" borderId="0" xfId="0" applyNumberFormat="1" applyFont="1" applyFill="1"/>
    <xf numFmtId="0" fontId="0" fillId="103" borderId="89" xfId="0" applyFill="1" applyBorder="1"/>
    <xf numFmtId="0" fontId="114" fillId="103" borderId="83" xfId="0" applyFont="1" applyFill="1" applyBorder="1" applyAlignment="1">
      <alignment vertical="center" wrapText="1"/>
    </xf>
    <xf numFmtId="9" fontId="105" fillId="103" borderId="84" xfId="0" applyNumberFormat="1" applyFont="1" applyFill="1" applyBorder="1" applyAlignment="1">
      <alignment horizontal="center"/>
    </xf>
    <xf numFmtId="0" fontId="0" fillId="0" borderId="84" xfId="0" applyBorder="1"/>
    <xf numFmtId="9" fontId="105" fillId="103" borderId="36" xfId="0" applyNumberFormat="1" applyFont="1" applyFill="1" applyBorder="1"/>
    <xf numFmtId="0" fontId="0" fillId="0" borderId="36" xfId="0" applyBorder="1"/>
    <xf numFmtId="0" fontId="0" fillId="0" borderId="88" xfId="0" applyBorder="1"/>
    <xf numFmtId="9" fontId="0" fillId="102" borderId="92" xfId="8204" applyFont="1" applyFill="1" applyBorder="1"/>
    <xf numFmtId="0" fontId="256" fillId="0" borderId="0" xfId="0" applyFont="1"/>
    <xf numFmtId="0" fontId="0" fillId="111" borderId="92" xfId="0" applyFill="1" applyBorder="1"/>
    <xf numFmtId="0" fontId="0" fillId="108" borderId="92" xfId="0" applyFill="1" applyBorder="1"/>
    <xf numFmtId="0" fontId="0" fillId="103" borderId="83" xfId="0" applyFill="1" applyBorder="1"/>
    <xf numFmtId="9" fontId="0" fillId="112" borderId="92" xfId="0" applyNumberFormat="1" applyFill="1" applyBorder="1"/>
    <xf numFmtId="0" fontId="123" fillId="107" borderId="89" xfId="0" applyFont="1" applyFill="1" applyBorder="1" applyAlignment="1">
      <alignment horizontal="left" wrapText="1"/>
    </xf>
    <xf numFmtId="0" fontId="123" fillId="107" borderId="35" xfId="0" applyFont="1" applyFill="1" applyBorder="1" applyAlignment="1">
      <alignment horizontal="right" wrapText="1"/>
    </xf>
    <xf numFmtId="0" fontId="204" fillId="106" borderId="84" xfId="0" applyFont="1" applyFill="1" applyBorder="1"/>
    <xf numFmtId="1" fontId="204" fillId="106" borderId="0" xfId="0" applyNumberFormat="1" applyFont="1" applyFill="1"/>
    <xf numFmtId="1" fontId="204" fillId="106" borderId="84" xfId="0" applyNumberFormat="1" applyFont="1" applyFill="1" applyBorder="1"/>
    <xf numFmtId="250" fontId="204" fillId="106" borderId="36" xfId="0" applyNumberFormat="1" applyFont="1" applyFill="1" applyBorder="1"/>
    <xf numFmtId="250" fontId="204" fillId="106" borderId="88" xfId="0" applyNumberFormat="1" applyFont="1" applyFill="1" applyBorder="1"/>
    <xf numFmtId="0" fontId="123" fillId="107" borderId="93" xfId="0" applyFont="1" applyFill="1" applyBorder="1" applyAlignment="1">
      <alignment horizontal="right"/>
    </xf>
    <xf numFmtId="0" fontId="204" fillId="106" borderId="94" xfId="0" applyFont="1" applyFill="1" applyBorder="1"/>
    <xf numFmtId="250" fontId="204" fillId="106" borderId="95" xfId="0" applyNumberFormat="1" applyFont="1" applyFill="1" applyBorder="1"/>
    <xf numFmtId="0" fontId="238" fillId="0" borderId="0" xfId="8208" applyFont="1" applyAlignment="1">
      <alignment wrapText="1"/>
    </xf>
    <xf numFmtId="254" fontId="2" fillId="0" borderId="0" xfId="8208" applyNumberFormat="1"/>
    <xf numFmtId="0" fontId="218" fillId="0" borderId="0" xfId="0" applyFont="1" applyAlignment="1">
      <alignment wrapText="1"/>
    </xf>
    <xf numFmtId="0" fontId="0" fillId="101" borderId="0" xfId="0" applyFill="1"/>
    <xf numFmtId="2" fontId="0" fillId="106" borderId="0" xfId="0" applyNumberFormat="1" applyFill="1"/>
    <xf numFmtId="0" fontId="0" fillId="106" borderId="0" xfId="0" quotePrefix="1" applyFill="1"/>
    <xf numFmtId="0" fontId="1" fillId="0" borderId="0" xfId="8208" applyFont="1"/>
    <xf numFmtId="14" fontId="1" fillId="0" borderId="0" xfId="8208" applyNumberFormat="1" applyFont="1"/>
    <xf numFmtId="205" fontId="233" fillId="106" borderId="79" xfId="8208" applyNumberFormat="1" applyFont="1" applyFill="1" applyBorder="1" applyAlignment="1">
      <alignment horizontal="center"/>
    </xf>
    <xf numFmtId="255" fontId="233" fillId="106" borderId="78" xfId="8208" applyNumberFormat="1" applyFont="1" applyFill="1" applyBorder="1"/>
    <xf numFmtId="205" fontId="1" fillId="106" borderId="78" xfId="8208" applyNumberFormat="1" applyFont="1" applyFill="1" applyBorder="1" applyAlignment="1">
      <alignment horizontal="center"/>
    </xf>
    <xf numFmtId="0" fontId="1" fillId="106" borderId="78" xfId="8208" applyFont="1" applyFill="1" applyBorder="1"/>
    <xf numFmtId="3" fontId="233" fillId="106" borderId="78" xfId="8208" applyNumberFormat="1" applyFont="1" applyFill="1" applyBorder="1" applyAlignment="1">
      <alignment horizontal="center"/>
    </xf>
    <xf numFmtId="3" fontId="233" fillId="106" borderId="53" xfId="8208" applyNumberFormat="1" applyFont="1" applyFill="1" applyBorder="1" applyAlignment="1">
      <alignment horizontal="center"/>
    </xf>
    <xf numFmtId="4" fontId="233" fillId="106" borderId="77" xfId="8208" applyNumberFormat="1" applyFont="1" applyFill="1" applyBorder="1" applyAlignment="1">
      <alignment horizontal="center"/>
    </xf>
    <xf numFmtId="0" fontId="1" fillId="107" borderId="91" xfId="8208" applyFont="1" applyFill="1" applyBorder="1" applyAlignment="1">
      <alignment horizontal="center"/>
    </xf>
    <xf numFmtId="204" fontId="233" fillId="113" borderId="101" xfId="8208" applyNumberFormat="1" applyFont="1" applyFill="1" applyBorder="1"/>
    <xf numFmtId="4" fontId="233" fillId="113" borderId="92" xfId="8208" applyNumberFormat="1" applyFont="1" applyFill="1" applyBorder="1"/>
    <xf numFmtId="0" fontId="261" fillId="107" borderId="89" xfId="8208" applyFont="1" applyFill="1" applyBorder="1"/>
    <xf numFmtId="0" fontId="1" fillId="107" borderId="35" xfId="8208" applyFont="1" applyFill="1" applyBorder="1"/>
    <xf numFmtId="0" fontId="1" fillId="107" borderId="90" xfId="8208" applyFont="1" applyFill="1" applyBorder="1"/>
    <xf numFmtId="0" fontId="262" fillId="107" borderId="83" xfId="8208" applyFont="1" applyFill="1" applyBorder="1"/>
    <xf numFmtId="0" fontId="1" fillId="107" borderId="0" xfId="8208" applyFont="1" applyFill="1"/>
    <xf numFmtId="0" fontId="1" fillId="107" borderId="84" xfId="8208" applyFont="1" applyFill="1" applyBorder="1"/>
    <xf numFmtId="0" fontId="1" fillId="107" borderId="83" xfId="8208" applyFont="1" applyFill="1" applyBorder="1"/>
    <xf numFmtId="0" fontId="233" fillId="107" borderId="83" xfId="8208" applyFont="1" applyFill="1" applyBorder="1" applyAlignment="1">
      <alignment horizontal="center"/>
    </xf>
    <xf numFmtId="0" fontId="233" fillId="107" borderId="0" xfId="8208" applyFont="1" applyFill="1" applyAlignment="1">
      <alignment horizontal="center"/>
    </xf>
    <xf numFmtId="0" fontId="233" fillId="107" borderId="0" xfId="8208" applyFont="1" applyFill="1" applyAlignment="1">
      <alignment wrapText="1"/>
    </xf>
    <xf numFmtId="14" fontId="263" fillId="107" borderId="84" xfId="0" applyNumberFormat="1" applyFont="1" applyFill="1" applyBorder="1"/>
    <xf numFmtId="255" fontId="233" fillId="106" borderId="0" xfId="8208" applyNumberFormat="1" applyFont="1" applyFill="1"/>
    <xf numFmtId="205" fontId="1" fillId="106" borderId="0" xfId="8208" applyNumberFormat="1" applyFont="1" applyFill="1" applyAlignment="1">
      <alignment horizontal="center"/>
    </xf>
    <xf numFmtId="0" fontId="1" fillId="106" borderId="0" xfId="8208" applyFont="1" applyFill="1"/>
    <xf numFmtId="0" fontId="1" fillId="106" borderId="84" xfId="8208" applyFont="1" applyFill="1" applyBorder="1"/>
    <xf numFmtId="0" fontId="1" fillId="107" borderId="102" xfId="8208" applyFont="1" applyFill="1" applyBorder="1"/>
    <xf numFmtId="0" fontId="241" fillId="106" borderId="0" xfId="8208" applyFont="1" applyFill="1"/>
    <xf numFmtId="0" fontId="233" fillId="107" borderId="83" xfId="8208" applyFont="1" applyFill="1" applyBorder="1" applyAlignment="1">
      <alignment horizontal="right"/>
    </xf>
    <xf numFmtId="0" fontId="233" fillId="107" borderId="87" xfId="8208" applyFont="1" applyFill="1" applyBorder="1" applyAlignment="1">
      <alignment horizontal="right"/>
    </xf>
    <xf numFmtId="0" fontId="1" fillId="106" borderId="36" xfId="8208" applyFont="1" applyFill="1" applyBorder="1"/>
    <xf numFmtId="205" fontId="233" fillId="106" borderId="36" xfId="8208" applyNumberFormat="1" applyFont="1" applyFill="1" applyBorder="1" applyAlignment="1">
      <alignment horizontal="center"/>
    </xf>
    <xf numFmtId="0" fontId="1" fillId="106" borderId="88" xfId="8208" applyFont="1" applyFill="1" applyBorder="1"/>
    <xf numFmtId="0" fontId="262" fillId="107" borderId="89" xfId="8208" applyFont="1" applyFill="1" applyBorder="1"/>
    <xf numFmtId="3" fontId="235" fillId="107" borderId="35" xfId="8208" applyNumberFormat="1" applyFont="1" applyFill="1" applyBorder="1"/>
    <xf numFmtId="0" fontId="236" fillId="107" borderId="90" xfId="8208" applyFont="1" applyFill="1" applyBorder="1"/>
    <xf numFmtId="3" fontId="233" fillId="106" borderId="0" xfId="8208" applyNumberFormat="1" applyFont="1" applyFill="1"/>
    <xf numFmtId="0" fontId="264" fillId="106" borderId="84" xfId="8208" applyFont="1" applyFill="1" applyBorder="1"/>
    <xf numFmtId="3" fontId="1" fillId="106" borderId="0" xfId="8208" applyNumberFormat="1" applyFont="1" applyFill="1"/>
    <xf numFmtId="0" fontId="1" fillId="107" borderId="87" xfId="8208" applyFont="1" applyFill="1" applyBorder="1"/>
    <xf numFmtId="204" fontId="233" fillId="106" borderId="36" xfId="8208" applyNumberFormat="1" applyFont="1" applyFill="1" applyBorder="1"/>
    <xf numFmtId="0" fontId="264" fillId="106" borderId="88" xfId="8208" applyFont="1" applyFill="1" applyBorder="1"/>
    <xf numFmtId="0" fontId="233" fillId="107" borderId="83" xfId="8208" applyFont="1" applyFill="1" applyBorder="1"/>
    <xf numFmtId="0" fontId="233" fillId="107" borderId="84" xfId="8208" applyFont="1" applyFill="1" applyBorder="1" applyAlignment="1">
      <alignment horizontal="center"/>
    </xf>
    <xf numFmtId="253" fontId="1" fillId="106" borderId="0" xfId="8208" applyNumberFormat="1" applyFont="1" applyFill="1" applyAlignment="1">
      <alignment horizontal="center"/>
    </xf>
    <xf numFmtId="253" fontId="1" fillId="106" borderId="84" xfId="8208" applyNumberFormat="1" applyFont="1" applyFill="1" applyBorder="1" applyAlignment="1">
      <alignment horizontal="center"/>
    </xf>
    <xf numFmtId="3" fontId="1" fillId="106" borderId="0" xfId="8208" applyNumberFormat="1" applyFont="1" applyFill="1" applyAlignment="1">
      <alignment horizontal="center"/>
    </xf>
    <xf numFmtId="3" fontId="1" fillId="106" borderId="84" xfId="8208" applyNumberFormat="1" applyFont="1" applyFill="1" applyBorder="1" applyAlignment="1">
      <alignment horizontal="center"/>
    </xf>
    <xf numFmtId="0" fontId="240" fillId="107" borderId="102" xfId="8208" applyFont="1" applyFill="1" applyBorder="1"/>
    <xf numFmtId="3" fontId="233" fillId="106" borderId="103" xfId="8208" applyNumberFormat="1" applyFont="1" applyFill="1" applyBorder="1" applyAlignment="1">
      <alignment horizontal="center"/>
    </xf>
    <xf numFmtId="0" fontId="264" fillId="107" borderId="83" xfId="8208" applyFont="1" applyFill="1" applyBorder="1"/>
    <xf numFmtId="0" fontId="264" fillId="106" borderId="0" xfId="8208" applyFont="1" applyFill="1" applyAlignment="1">
      <alignment horizontal="center"/>
    </xf>
    <xf numFmtId="0" fontId="264" fillId="106" borderId="84" xfId="8208" applyFont="1" applyFill="1" applyBorder="1" applyAlignment="1">
      <alignment horizontal="center"/>
    </xf>
    <xf numFmtId="0" fontId="114" fillId="107" borderId="96" xfId="8208" applyFont="1" applyFill="1" applyBorder="1"/>
    <xf numFmtId="3" fontId="233" fillId="106" borderId="104" xfId="8208" applyNumberFormat="1" applyFont="1" applyFill="1" applyBorder="1" applyAlignment="1">
      <alignment horizontal="center"/>
    </xf>
    <xf numFmtId="0" fontId="114" fillId="107" borderId="105" xfId="8208" applyFont="1" applyFill="1" applyBorder="1"/>
    <xf numFmtId="4" fontId="233" fillId="106" borderId="106" xfId="8208" applyNumberFormat="1" applyFont="1" applyFill="1" applyBorder="1" applyAlignment="1">
      <alignment horizontal="center"/>
    </xf>
    <xf numFmtId="9" fontId="233" fillId="106" borderId="0" xfId="8208" applyNumberFormat="1" applyFont="1" applyFill="1" applyAlignment="1">
      <alignment horizontal="center"/>
    </xf>
    <xf numFmtId="9" fontId="233" fillId="106" borderId="84" xfId="8208" applyNumberFormat="1" applyFont="1" applyFill="1" applyBorder="1" applyAlignment="1">
      <alignment horizontal="center"/>
    </xf>
    <xf numFmtId="0" fontId="1" fillId="107" borderId="84" xfId="8208" applyFont="1" applyFill="1" applyBorder="1" applyAlignment="1">
      <alignment horizontal="center"/>
    </xf>
    <xf numFmtId="0" fontId="233" fillId="107" borderId="107" xfId="8208" applyFont="1" applyFill="1" applyBorder="1"/>
    <xf numFmtId="204" fontId="233" fillId="113" borderId="84" xfId="8208" applyNumberFormat="1" applyFont="1" applyFill="1" applyBorder="1"/>
    <xf numFmtId="0" fontId="233" fillId="107" borderId="87" xfId="8208" applyFont="1" applyFill="1" applyBorder="1"/>
    <xf numFmtId="4" fontId="233" fillId="113" borderId="88" xfId="8208" applyNumberFormat="1" applyFont="1" applyFill="1" applyBorder="1"/>
    <xf numFmtId="168" fontId="225" fillId="106" borderId="0" xfId="8204" applyNumberFormat="1" applyFont="1" applyFill="1" applyBorder="1" applyAlignment="1">
      <alignment vertical="center"/>
    </xf>
    <xf numFmtId="10" fontId="229" fillId="102" borderId="100" xfId="8204" applyNumberFormat="1" applyFont="1" applyFill="1" applyBorder="1" applyAlignment="1">
      <alignment vertical="center"/>
    </xf>
    <xf numFmtId="0" fontId="0" fillId="104" borderId="0" xfId="0" applyFill="1"/>
    <xf numFmtId="10" fontId="114" fillId="114" borderId="92" xfId="8204" applyNumberFormat="1" applyFont="1" applyFill="1" applyBorder="1" applyAlignment="1">
      <alignment horizontal="center"/>
    </xf>
    <xf numFmtId="0" fontId="234" fillId="0" borderId="0" xfId="8208" applyFont="1"/>
    <xf numFmtId="204" fontId="114" fillId="0" borderId="0" xfId="8208" applyNumberFormat="1" applyFont="1"/>
    <xf numFmtId="0" fontId="248" fillId="115" borderId="89" xfId="0" applyFont="1" applyFill="1" applyBorder="1" applyAlignment="1">
      <alignment horizontal="center" vertical="center" wrapText="1"/>
    </xf>
    <xf numFmtId="0" fontId="248" fillId="115" borderId="35" xfId="0" applyFont="1" applyFill="1" applyBorder="1" applyAlignment="1">
      <alignment horizontal="center" vertical="center" wrapText="1"/>
    </xf>
    <xf numFmtId="0" fontId="248" fillId="115" borderId="90" xfId="0" applyFont="1" applyFill="1" applyBorder="1" applyAlignment="1">
      <alignment horizontal="center" vertical="center" wrapText="1"/>
    </xf>
    <xf numFmtId="0" fontId="248" fillId="115" borderId="83" xfId="0" applyFont="1" applyFill="1" applyBorder="1" applyAlignment="1">
      <alignment horizontal="center" vertical="center" wrapText="1"/>
    </xf>
    <xf numFmtId="0" fontId="248" fillId="115" borderId="0" xfId="0" applyFont="1" applyFill="1" applyAlignment="1">
      <alignment horizontal="center" vertical="center" wrapText="1"/>
    </xf>
    <xf numFmtId="0" fontId="248" fillId="115" borderId="84" xfId="0" applyFont="1" applyFill="1" applyBorder="1" applyAlignment="1">
      <alignment horizontal="center" vertical="center" wrapText="1"/>
    </xf>
    <xf numFmtId="0" fontId="248" fillId="115" borderId="87" xfId="0" applyFont="1" applyFill="1" applyBorder="1" applyAlignment="1">
      <alignment horizontal="center" vertical="center" wrapText="1"/>
    </xf>
    <xf numFmtId="0" fontId="248" fillId="115" borderId="36" xfId="0" applyFont="1" applyFill="1" applyBorder="1" applyAlignment="1">
      <alignment horizontal="center" vertical="center" wrapText="1"/>
    </xf>
    <xf numFmtId="0" fontId="248" fillId="115" borderId="88" xfId="0" applyFont="1" applyFill="1" applyBorder="1" applyAlignment="1">
      <alignment horizontal="center" vertical="center" wrapText="1"/>
    </xf>
    <xf numFmtId="0" fontId="248" fillId="104" borderId="0" xfId="0" applyFont="1" applyFill="1" applyAlignment="1">
      <alignment horizontal="center" vertical="center"/>
    </xf>
    <xf numFmtId="0" fontId="248" fillId="104" borderId="36" xfId="0" applyFont="1" applyFill="1" applyBorder="1" applyAlignment="1">
      <alignment horizontal="center" vertical="center"/>
    </xf>
    <xf numFmtId="0" fontId="250" fillId="115" borderId="35" xfId="0" applyFont="1" applyFill="1" applyBorder="1" applyAlignment="1">
      <alignment horizontal="center" vertical="center"/>
    </xf>
    <xf numFmtId="0" fontId="250" fillId="115" borderId="90" xfId="0" applyFont="1" applyFill="1" applyBorder="1" applyAlignment="1">
      <alignment horizontal="center" vertical="center"/>
    </xf>
    <xf numFmtId="0" fontId="250" fillId="115" borderId="0" xfId="0" applyFont="1" applyFill="1" applyAlignment="1">
      <alignment horizontal="center" vertical="center"/>
    </xf>
    <xf numFmtId="0" fontId="250" fillId="115" borderId="84" xfId="0" applyFont="1" applyFill="1" applyBorder="1" applyAlignment="1">
      <alignment horizontal="center" vertical="center"/>
    </xf>
    <xf numFmtId="0" fontId="250" fillId="115" borderId="36" xfId="0" applyFont="1" applyFill="1" applyBorder="1" applyAlignment="1">
      <alignment horizontal="center" vertical="center"/>
    </xf>
    <xf numFmtId="0" fontId="250" fillId="115" borderId="88" xfId="0" applyFont="1" applyFill="1" applyBorder="1" applyAlignment="1">
      <alignment horizontal="center" vertical="center"/>
    </xf>
    <xf numFmtId="0" fontId="267" fillId="115" borderId="89" xfId="0" applyFont="1" applyFill="1" applyBorder="1" applyAlignment="1">
      <alignment horizontal="center" vertical="center"/>
    </xf>
    <xf numFmtId="0" fontId="267" fillId="115" borderId="35" xfId="0" applyFont="1" applyFill="1" applyBorder="1" applyAlignment="1">
      <alignment horizontal="center" vertical="center"/>
    </xf>
    <xf numFmtId="0" fontId="267" fillId="115" borderId="83" xfId="0" applyFont="1" applyFill="1" applyBorder="1" applyAlignment="1">
      <alignment horizontal="center" vertical="center"/>
    </xf>
    <xf numFmtId="0" fontId="267" fillId="115" borderId="0" xfId="0" applyFont="1" applyFill="1" applyAlignment="1">
      <alignment horizontal="center" vertical="center"/>
    </xf>
    <xf numFmtId="0" fontId="267" fillId="115" borderId="87" xfId="0" applyFont="1" applyFill="1" applyBorder="1" applyAlignment="1">
      <alignment horizontal="center" vertical="center"/>
    </xf>
    <xf numFmtId="0" fontId="267" fillId="115" borderId="36" xfId="0" applyFont="1" applyFill="1" applyBorder="1" applyAlignment="1">
      <alignment horizontal="center" vertical="center"/>
    </xf>
    <xf numFmtId="251" fontId="267" fillId="115" borderId="35" xfId="0" applyNumberFormat="1" applyFont="1" applyFill="1" applyBorder="1" applyAlignment="1">
      <alignment horizontal="center" vertical="center"/>
    </xf>
    <xf numFmtId="251" fontId="267" fillId="115" borderId="90" xfId="0" applyNumberFormat="1" applyFont="1" applyFill="1" applyBorder="1" applyAlignment="1">
      <alignment horizontal="center" vertical="center"/>
    </xf>
    <xf numFmtId="251" fontId="267" fillId="115" borderId="0" xfId="0" applyNumberFormat="1" applyFont="1" applyFill="1" applyAlignment="1">
      <alignment horizontal="center" vertical="center"/>
    </xf>
    <xf numFmtId="251" fontId="267" fillId="115" borderId="84" xfId="0" applyNumberFormat="1" applyFont="1" applyFill="1" applyBorder="1" applyAlignment="1">
      <alignment horizontal="center" vertical="center"/>
    </xf>
    <xf numFmtId="251" fontId="267" fillId="115" borderId="36" xfId="0" applyNumberFormat="1" applyFont="1" applyFill="1" applyBorder="1" applyAlignment="1">
      <alignment horizontal="center" vertical="center"/>
    </xf>
    <xf numFmtId="251" fontId="267" fillId="115" borderId="88" xfId="0" applyNumberFormat="1" applyFont="1" applyFill="1" applyBorder="1" applyAlignment="1">
      <alignment horizontal="center" vertical="center"/>
    </xf>
    <xf numFmtId="0" fontId="250" fillId="115" borderId="89" xfId="0" applyFont="1" applyFill="1" applyBorder="1" applyAlignment="1">
      <alignment horizontal="center" vertical="center"/>
    </xf>
    <xf numFmtId="0" fontId="250" fillId="115" borderId="83" xfId="0" applyFont="1" applyFill="1" applyBorder="1" applyAlignment="1">
      <alignment horizontal="center" vertical="center"/>
    </xf>
    <xf numFmtId="0" fontId="250" fillId="115" borderId="87" xfId="0" applyFont="1" applyFill="1" applyBorder="1" applyAlignment="1">
      <alignment horizontal="center" vertical="center"/>
    </xf>
    <xf numFmtId="10" fontId="250" fillId="115" borderId="35" xfId="0" applyNumberFormat="1" applyFont="1" applyFill="1" applyBorder="1" applyAlignment="1">
      <alignment horizontal="center" vertical="center"/>
    </xf>
    <xf numFmtId="10" fontId="250" fillId="115" borderId="35" xfId="8204" applyNumberFormat="1" applyFont="1" applyFill="1" applyBorder="1" applyAlignment="1">
      <alignment horizontal="center" vertical="center"/>
    </xf>
    <xf numFmtId="10" fontId="250" fillId="115" borderId="90" xfId="8204" applyNumberFormat="1" applyFont="1" applyFill="1" applyBorder="1" applyAlignment="1">
      <alignment horizontal="center" vertical="center"/>
    </xf>
    <xf numFmtId="10" fontId="250" fillId="115" borderId="0" xfId="8204" applyNumberFormat="1" applyFont="1" applyFill="1" applyBorder="1" applyAlignment="1">
      <alignment horizontal="center" vertical="center"/>
    </xf>
    <xf numFmtId="10" fontId="250" fillId="115" borderId="84" xfId="8204" applyNumberFormat="1" applyFont="1" applyFill="1" applyBorder="1" applyAlignment="1">
      <alignment horizontal="center" vertical="center"/>
    </xf>
    <xf numFmtId="10" fontId="250" fillId="115" borderId="36" xfId="8204" applyNumberFormat="1" applyFont="1" applyFill="1" applyBorder="1" applyAlignment="1">
      <alignment horizontal="center" vertical="center"/>
    </xf>
    <xf numFmtId="10" fontId="250" fillId="115" borderId="88" xfId="8204" applyNumberFormat="1" applyFont="1" applyFill="1" applyBorder="1" applyAlignment="1">
      <alignment horizontal="center" vertical="center"/>
    </xf>
    <xf numFmtId="0" fontId="267" fillId="115" borderId="90" xfId="0" applyFont="1" applyFill="1" applyBorder="1" applyAlignment="1">
      <alignment horizontal="center" vertical="center"/>
    </xf>
    <xf numFmtId="0" fontId="267" fillId="115" borderId="84" xfId="0" applyFont="1" applyFill="1" applyBorder="1" applyAlignment="1">
      <alignment horizontal="center" vertical="center"/>
    </xf>
    <xf numFmtId="0" fontId="267" fillId="115" borderId="88" xfId="0" applyFont="1" applyFill="1" applyBorder="1" applyAlignment="1">
      <alignment horizontal="center" vertical="center"/>
    </xf>
    <xf numFmtId="15" fontId="250" fillId="115" borderId="35" xfId="0" applyNumberFormat="1" applyFont="1" applyFill="1" applyBorder="1" applyAlignment="1">
      <alignment horizontal="center" vertical="center"/>
    </xf>
    <xf numFmtId="251" fontId="250" fillId="115" borderId="35" xfId="0" applyNumberFormat="1" applyFont="1" applyFill="1" applyBorder="1" applyAlignment="1">
      <alignment horizontal="center" vertical="center"/>
    </xf>
    <xf numFmtId="251" fontId="250" fillId="115" borderId="90" xfId="0" applyNumberFormat="1" applyFont="1" applyFill="1" applyBorder="1" applyAlignment="1">
      <alignment horizontal="center" vertical="center"/>
    </xf>
    <xf numFmtId="251" fontId="250" fillId="115" borderId="0" xfId="0" applyNumberFormat="1" applyFont="1" applyFill="1" applyAlignment="1">
      <alignment horizontal="center" vertical="center"/>
    </xf>
    <xf numFmtId="251" fontId="250" fillId="115" borderId="84" xfId="0" applyNumberFormat="1" applyFont="1" applyFill="1" applyBorder="1" applyAlignment="1">
      <alignment horizontal="center" vertical="center"/>
    </xf>
    <xf numFmtId="251" fontId="250" fillId="115" borderId="36" xfId="0" applyNumberFormat="1" applyFont="1" applyFill="1" applyBorder="1" applyAlignment="1">
      <alignment horizontal="center" vertical="center"/>
    </xf>
    <xf numFmtId="251" fontId="250" fillId="115" borderId="88" xfId="0" applyNumberFormat="1" applyFont="1" applyFill="1" applyBorder="1" applyAlignment="1">
      <alignment horizontal="center" vertical="center"/>
    </xf>
    <xf numFmtId="0" fontId="250" fillId="115" borderId="89" xfId="0" applyFont="1" applyFill="1" applyBorder="1" applyAlignment="1">
      <alignment horizontal="right" vertical="center"/>
    </xf>
    <xf numFmtId="0" fontId="250" fillId="115" borderId="35" xfId="0" applyFont="1" applyFill="1" applyBorder="1" applyAlignment="1">
      <alignment horizontal="right" vertical="center"/>
    </xf>
    <xf numFmtId="0" fontId="250" fillId="115" borderId="83" xfId="0" applyFont="1" applyFill="1" applyBorder="1" applyAlignment="1">
      <alignment horizontal="right" vertical="center"/>
    </xf>
    <xf numFmtId="0" fontId="250" fillId="115" borderId="0" xfId="0" applyFont="1" applyFill="1" applyAlignment="1">
      <alignment horizontal="right" vertical="center"/>
    </xf>
    <xf numFmtId="0" fontId="250" fillId="115" borderId="87" xfId="0" applyFont="1" applyFill="1" applyBorder="1" applyAlignment="1">
      <alignment horizontal="right" vertical="center"/>
    </xf>
    <xf numFmtId="0" fontId="250" fillId="115" borderId="36" xfId="0" applyFont="1" applyFill="1" applyBorder="1" applyAlignment="1">
      <alignment horizontal="right" vertical="center"/>
    </xf>
    <xf numFmtId="0" fontId="265" fillId="104" borderId="89" xfId="0" applyFont="1" applyFill="1" applyBorder="1" applyAlignment="1">
      <alignment horizontal="center" vertical="center" wrapText="1"/>
    </xf>
    <xf numFmtId="0" fontId="265" fillId="104" borderId="35" xfId="0" applyFont="1" applyFill="1" applyBorder="1" applyAlignment="1">
      <alignment horizontal="center" vertical="center" wrapText="1"/>
    </xf>
    <xf numFmtId="0" fontId="265" fillId="104" borderId="90" xfId="0" applyFont="1" applyFill="1" applyBorder="1" applyAlignment="1">
      <alignment horizontal="center" vertical="center" wrapText="1"/>
    </xf>
    <xf numFmtId="0" fontId="265" fillId="104" borderId="83" xfId="0" applyFont="1" applyFill="1" applyBorder="1" applyAlignment="1">
      <alignment horizontal="center" vertical="center" wrapText="1"/>
    </xf>
    <xf numFmtId="0" fontId="265" fillId="104" borderId="0" xfId="0" applyFont="1" applyFill="1" applyAlignment="1">
      <alignment horizontal="center" vertical="center" wrapText="1"/>
    </xf>
    <xf numFmtId="0" fontId="265" fillId="104" borderId="84" xfId="0" applyFont="1" applyFill="1" applyBorder="1" applyAlignment="1">
      <alignment horizontal="center" vertical="center" wrapText="1"/>
    </xf>
    <xf numFmtId="0" fontId="265" fillId="104" borderId="87" xfId="0" applyFont="1" applyFill="1" applyBorder="1" applyAlignment="1">
      <alignment horizontal="center" vertical="center" wrapText="1"/>
    </xf>
    <xf numFmtId="0" fontId="265" fillId="104" borderId="36" xfId="0" applyFont="1" applyFill="1" applyBorder="1" applyAlignment="1">
      <alignment horizontal="center" vertical="center" wrapText="1"/>
    </xf>
    <xf numFmtId="0" fontId="265" fillId="104" borderId="88" xfId="0" applyFont="1" applyFill="1" applyBorder="1" applyAlignment="1">
      <alignment horizontal="center" vertical="center" wrapText="1"/>
    </xf>
    <xf numFmtId="0" fontId="249" fillId="105" borderId="90" xfId="0" applyFont="1" applyFill="1" applyBorder="1" applyAlignment="1">
      <alignment horizontal="center" vertical="center"/>
    </xf>
    <xf numFmtId="0" fontId="249" fillId="105" borderId="84" xfId="0" applyFont="1" applyFill="1" applyBorder="1" applyAlignment="1">
      <alignment horizontal="center" vertical="center"/>
    </xf>
    <xf numFmtId="0" fontId="249" fillId="105" borderId="88" xfId="0" applyFont="1" applyFill="1" applyBorder="1" applyAlignment="1">
      <alignment horizontal="center" vertical="center"/>
    </xf>
    <xf numFmtId="0" fontId="252" fillId="104" borderId="89" xfId="0" applyFont="1" applyFill="1" applyBorder="1" applyAlignment="1">
      <alignment horizontal="center" vertical="center"/>
    </xf>
    <xf numFmtId="0" fontId="252" fillId="104" borderId="35" xfId="0" applyFont="1" applyFill="1" applyBorder="1" applyAlignment="1">
      <alignment horizontal="center" vertical="center"/>
    </xf>
    <xf numFmtId="0" fontId="252" fillId="104" borderId="90" xfId="0" applyFont="1" applyFill="1" applyBorder="1" applyAlignment="1">
      <alignment horizontal="center" vertical="center"/>
    </xf>
    <xf numFmtId="0" fontId="252" fillId="104" borderId="83" xfId="0" applyFont="1" applyFill="1" applyBorder="1" applyAlignment="1">
      <alignment horizontal="center" vertical="center"/>
    </xf>
    <xf numFmtId="0" fontId="252" fillId="104" borderId="0" xfId="0" applyFont="1" applyFill="1" applyAlignment="1">
      <alignment horizontal="center" vertical="center"/>
    </xf>
    <xf numFmtId="0" fontId="252" fillId="104" borderId="84" xfId="0" applyFont="1" applyFill="1" applyBorder="1" applyAlignment="1">
      <alignment horizontal="center" vertical="center"/>
    </xf>
    <xf numFmtId="0" fontId="252" fillId="104" borderId="87" xfId="0" applyFont="1" applyFill="1" applyBorder="1" applyAlignment="1">
      <alignment horizontal="center" vertical="center"/>
    </xf>
    <xf numFmtId="0" fontId="252" fillId="104" borderId="36" xfId="0" applyFont="1" applyFill="1" applyBorder="1" applyAlignment="1">
      <alignment horizontal="center" vertical="center"/>
    </xf>
    <xf numFmtId="0" fontId="252" fillId="104" borderId="88" xfId="0" applyFont="1" applyFill="1" applyBorder="1" applyAlignment="1">
      <alignment horizontal="center" vertical="center"/>
    </xf>
    <xf numFmtId="0" fontId="250" fillId="104" borderId="89" xfId="0" applyFont="1" applyFill="1" applyBorder="1" applyAlignment="1">
      <alignment horizontal="center" vertical="center"/>
    </xf>
    <xf numFmtId="0" fontId="250" fillId="104" borderId="35" xfId="0" applyFont="1" applyFill="1" applyBorder="1" applyAlignment="1">
      <alignment horizontal="center" vertical="center"/>
    </xf>
    <xf numFmtId="0" fontId="250" fillId="104" borderId="90" xfId="0" applyFont="1" applyFill="1" applyBorder="1" applyAlignment="1">
      <alignment horizontal="center" vertical="center"/>
    </xf>
    <xf numFmtId="0" fontId="250" fillId="104" borderId="83" xfId="0" applyFont="1" applyFill="1" applyBorder="1" applyAlignment="1">
      <alignment horizontal="center" vertical="center"/>
    </xf>
    <xf numFmtId="0" fontId="250" fillId="104" borderId="0" xfId="0" applyFont="1" applyFill="1" applyAlignment="1">
      <alignment horizontal="center" vertical="center"/>
    </xf>
    <xf numFmtId="0" fontId="250" fillId="104" borderId="84" xfId="0" applyFont="1" applyFill="1" applyBorder="1" applyAlignment="1">
      <alignment horizontal="center" vertical="center"/>
    </xf>
    <xf numFmtId="0" fontId="250" fillId="104" borderId="87" xfId="0" applyFont="1" applyFill="1" applyBorder="1" applyAlignment="1">
      <alignment horizontal="center" vertical="center"/>
    </xf>
    <xf numFmtId="0" fontId="250" fillId="104" borderId="36" xfId="0" applyFont="1" applyFill="1" applyBorder="1" applyAlignment="1">
      <alignment horizontal="center" vertical="center"/>
    </xf>
    <xf numFmtId="0" fontId="250" fillId="104" borderId="88" xfId="0" applyFont="1" applyFill="1" applyBorder="1" applyAlignment="1">
      <alignment horizontal="center" vertical="center"/>
    </xf>
    <xf numFmtId="0" fontId="259" fillId="104" borderId="89" xfId="0" applyFont="1" applyFill="1" applyBorder="1" applyAlignment="1">
      <alignment horizontal="center" vertical="center"/>
    </xf>
    <xf numFmtId="0" fontId="251" fillId="104" borderId="35" xfId="0" applyFont="1" applyFill="1" applyBorder="1" applyAlignment="1">
      <alignment horizontal="center" vertical="center"/>
    </xf>
    <xf numFmtId="0" fontId="251" fillId="104" borderId="90" xfId="0" applyFont="1" applyFill="1" applyBorder="1" applyAlignment="1">
      <alignment horizontal="center" vertical="center"/>
    </xf>
    <xf numFmtId="0" fontId="251" fillId="104" borderId="83" xfId="0" applyFont="1" applyFill="1" applyBorder="1" applyAlignment="1">
      <alignment horizontal="center" vertical="center"/>
    </xf>
    <xf numFmtId="0" fontId="251" fillId="104" borderId="0" xfId="0" applyFont="1" applyFill="1" applyAlignment="1">
      <alignment horizontal="center" vertical="center"/>
    </xf>
    <xf numFmtId="0" fontId="251" fillId="104" borderId="84" xfId="0" applyFont="1" applyFill="1" applyBorder="1" applyAlignment="1">
      <alignment horizontal="center" vertical="center"/>
    </xf>
    <xf numFmtId="0" fontId="251" fillId="104" borderId="87" xfId="0" applyFont="1" applyFill="1" applyBorder="1" applyAlignment="1">
      <alignment horizontal="center" vertical="center"/>
    </xf>
    <xf numFmtId="0" fontId="251" fillId="104" borderId="36" xfId="0" applyFont="1" applyFill="1" applyBorder="1" applyAlignment="1">
      <alignment horizontal="center" vertical="center"/>
    </xf>
    <xf numFmtId="0" fontId="251" fillId="104" borderId="88" xfId="0" applyFont="1" applyFill="1" applyBorder="1" applyAlignment="1">
      <alignment horizontal="center" vertical="center"/>
    </xf>
    <xf numFmtId="0" fontId="266" fillId="105" borderId="89" xfId="0" applyFont="1" applyFill="1" applyBorder="1" applyAlignment="1">
      <alignment horizontal="center" vertical="center"/>
    </xf>
    <xf numFmtId="0" fontId="266" fillId="105" borderId="35" xfId="0" applyFont="1" applyFill="1" applyBorder="1" applyAlignment="1">
      <alignment horizontal="center" vertical="center"/>
    </xf>
    <xf numFmtId="0" fontId="266" fillId="105" borderId="87" xfId="0" applyFont="1" applyFill="1" applyBorder="1" applyAlignment="1">
      <alignment horizontal="center" vertical="center"/>
    </xf>
    <xf numFmtId="0" fontId="266" fillId="105" borderId="36" xfId="0" applyFont="1" applyFill="1" applyBorder="1" applyAlignment="1">
      <alignment horizontal="center" vertical="center"/>
    </xf>
    <xf numFmtId="0" fontId="249" fillId="105" borderId="89" xfId="0" applyFont="1" applyFill="1" applyBorder="1" applyAlignment="1">
      <alignment horizontal="center" vertical="center"/>
    </xf>
    <xf numFmtId="0" fontId="249" fillId="105" borderId="35" xfId="0" applyFont="1" applyFill="1" applyBorder="1" applyAlignment="1">
      <alignment horizontal="center" vertical="center"/>
    </xf>
    <xf numFmtId="0" fontId="249" fillId="105" borderId="87" xfId="0" applyFont="1" applyFill="1" applyBorder="1" applyAlignment="1">
      <alignment horizontal="center" vertical="center"/>
    </xf>
    <xf numFmtId="0" fontId="249" fillId="105" borderId="36" xfId="0" applyFont="1" applyFill="1" applyBorder="1" applyAlignment="1">
      <alignment horizontal="center" vertical="center"/>
    </xf>
    <xf numFmtId="251" fontId="249" fillId="105" borderId="90" xfId="0" applyNumberFormat="1" applyFont="1" applyFill="1" applyBorder="1" applyAlignment="1">
      <alignment horizontal="center" vertical="center"/>
    </xf>
    <xf numFmtId="251" fontId="249" fillId="105" borderId="88" xfId="0" applyNumberFormat="1" applyFont="1" applyFill="1" applyBorder="1" applyAlignment="1">
      <alignment horizontal="center" vertical="center"/>
    </xf>
    <xf numFmtId="251" fontId="266" fillId="105" borderId="90" xfId="0" applyNumberFormat="1" applyFont="1" applyFill="1" applyBorder="1" applyAlignment="1">
      <alignment horizontal="center" vertical="center"/>
    </xf>
    <xf numFmtId="251" fontId="266" fillId="105" borderId="88" xfId="0" applyNumberFormat="1" applyFont="1" applyFill="1" applyBorder="1" applyAlignment="1">
      <alignment horizontal="center" vertical="center"/>
    </xf>
    <xf numFmtId="251" fontId="249" fillId="105" borderId="89" xfId="0" applyNumberFormat="1" applyFont="1" applyFill="1" applyBorder="1" applyAlignment="1">
      <alignment horizontal="center" vertical="center"/>
    </xf>
    <xf numFmtId="251" fontId="249" fillId="105" borderId="83" xfId="0" applyNumberFormat="1" applyFont="1" applyFill="1" applyBorder="1" applyAlignment="1">
      <alignment horizontal="center" vertical="center"/>
    </xf>
    <xf numFmtId="251" fontId="249" fillId="105" borderId="87" xfId="0" applyNumberFormat="1" applyFont="1" applyFill="1" applyBorder="1" applyAlignment="1">
      <alignment horizontal="center" vertical="center"/>
    </xf>
    <xf numFmtId="0" fontId="248" fillId="103" borderId="35" xfId="0" applyFont="1" applyFill="1" applyBorder="1" applyAlignment="1">
      <alignment horizontal="center" vertical="center"/>
    </xf>
    <xf numFmtId="0" fontId="248" fillId="103" borderId="90" xfId="0" applyFont="1" applyFill="1" applyBorder="1" applyAlignment="1">
      <alignment horizontal="center" vertical="center"/>
    </xf>
    <xf numFmtId="0" fontId="248" fillId="103" borderId="0" xfId="0" applyFont="1" applyFill="1" applyAlignment="1">
      <alignment horizontal="center" vertical="center"/>
    </xf>
    <xf numFmtId="0" fontId="248" fillId="103" borderId="84" xfId="0" applyFont="1" applyFill="1" applyBorder="1" applyAlignment="1">
      <alignment horizontal="center" vertical="center"/>
    </xf>
    <xf numFmtId="0" fontId="114" fillId="107" borderId="35" xfId="0" applyFont="1" applyFill="1" applyBorder="1" applyAlignment="1">
      <alignment horizontal="center"/>
    </xf>
    <xf numFmtId="0" fontId="114" fillId="107" borderId="90" xfId="0" applyFont="1" applyFill="1" applyBorder="1" applyAlignment="1">
      <alignment horizontal="center"/>
    </xf>
    <xf numFmtId="0" fontId="114" fillId="107" borderId="35" xfId="0" applyFont="1" applyFill="1" applyBorder="1" applyAlignment="1">
      <alignment horizontal="center" vertical="center"/>
    </xf>
    <xf numFmtId="0" fontId="114" fillId="107" borderId="90" xfId="0" applyFont="1" applyFill="1" applyBorder="1" applyAlignment="1">
      <alignment horizontal="center" vertical="center"/>
    </xf>
    <xf numFmtId="0" fontId="105" fillId="103" borderId="0" xfId="0" applyFont="1" applyFill="1" applyAlignment="1">
      <alignment horizontal="center"/>
    </xf>
    <xf numFmtId="0" fontId="105" fillId="103" borderId="84" xfId="0" applyFont="1" applyFill="1" applyBorder="1" applyAlignment="1">
      <alignment horizontal="center"/>
    </xf>
    <xf numFmtId="0" fontId="105" fillId="103" borderId="83" xfId="0" applyFont="1" applyFill="1" applyBorder="1" applyAlignment="1">
      <alignment horizontal="center" vertical="center" wrapText="1"/>
    </xf>
    <xf numFmtId="0" fontId="105" fillId="103" borderId="87" xfId="0" applyFont="1" applyFill="1" applyBorder="1" applyAlignment="1">
      <alignment horizontal="center" vertical="center" wrapText="1"/>
    </xf>
    <xf numFmtId="0" fontId="257" fillId="103" borderId="35" xfId="0" applyFont="1" applyFill="1" applyBorder="1" applyAlignment="1">
      <alignment horizontal="center" vertical="center"/>
    </xf>
    <xf numFmtId="0" fontId="258" fillId="103" borderId="35" xfId="0" applyFont="1" applyFill="1" applyBorder="1" applyAlignment="1">
      <alignment horizontal="center" vertical="center"/>
    </xf>
    <xf numFmtId="0" fontId="258" fillId="103" borderId="90" xfId="0" applyFont="1" applyFill="1" applyBorder="1" applyAlignment="1">
      <alignment horizontal="center" vertical="center"/>
    </xf>
    <xf numFmtId="0" fontId="258" fillId="103" borderId="0" xfId="0" applyFont="1" applyFill="1" applyAlignment="1">
      <alignment horizontal="center" vertical="center"/>
    </xf>
    <xf numFmtId="0" fontId="258" fillId="103" borderId="84" xfId="0" applyFont="1" applyFill="1" applyBorder="1" applyAlignment="1">
      <alignment horizontal="center" vertical="center"/>
    </xf>
    <xf numFmtId="0" fontId="114" fillId="107" borderId="93" xfId="0" applyFont="1" applyFill="1" applyBorder="1" applyAlignment="1">
      <alignment horizontal="center"/>
    </xf>
    <xf numFmtId="0" fontId="221" fillId="107" borderId="89" xfId="0" applyFont="1" applyFill="1" applyBorder="1" applyAlignment="1">
      <alignment horizontal="center" vertical="center"/>
    </xf>
    <xf numFmtId="0" fontId="0" fillId="107" borderId="83" xfId="0" applyFill="1" applyBorder="1" applyAlignment="1">
      <alignment horizontal="center" vertical="center"/>
    </xf>
    <xf numFmtId="0" fontId="213" fillId="107" borderId="89" xfId="8205" applyFont="1" applyFill="1" applyBorder="1" applyAlignment="1">
      <alignment horizontal="center" vertical="center" wrapText="1"/>
    </xf>
    <xf numFmtId="0" fontId="213" fillId="107" borderId="83" xfId="8205" applyFont="1" applyFill="1" applyBorder="1" applyAlignment="1">
      <alignment horizontal="center" vertical="center" wrapText="1"/>
    </xf>
    <xf numFmtId="0" fontId="195" fillId="0" borderId="0" xfId="8205" applyFont="1" applyAlignment="1">
      <alignment horizontal="left" wrapText="1"/>
    </xf>
    <xf numFmtId="0" fontId="3" fillId="0" borderId="0" xfId="8205"/>
    <xf numFmtId="0" fontId="194" fillId="0" borderId="74" xfId="8205" applyFont="1" applyBorder="1" applyAlignment="1">
      <alignment horizontal="left" wrapText="1"/>
    </xf>
    <xf numFmtId="0" fontId="247" fillId="103" borderId="0" xfId="8205" applyFont="1" applyFill="1" applyAlignment="1">
      <alignment horizontal="center" vertical="center"/>
    </xf>
    <xf numFmtId="0" fontId="245" fillId="103" borderId="0" xfId="8205" applyFont="1" applyFill="1" applyAlignment="1">
      <alignment horizontal="center" vertical="center"/>
    </xf>
    <xf numFmtId="0" fontId="198" fillId="0" borderId="74" xfId="8205" applyFont="1" applyBorder="1" applyAlignment="1">
      <alignment horizontal="left" wrapText="1"/>
    </xf>
    <xf numFmtId="0" fontId="195" fillId="0" borderId="0" xfId="8205" applyFont="1" applyAlignment="1">
      <alignment horizontal="left" vertical="center" wrapText="1"/>
    </xf>
    <xf numFmtId="0" fontId="196" fillId="0" borderId="0" xfId="0" applyFont="1" applyAlignment="1">
      <alignment horizontal="center" wrapText="1"/>
    </xf>
    <xf numFmtId="0" fontId="0" fillId="0" borderId="0" xfId="0" applyAlignment="1">
      <alignment horizontal="center"/>
    </xf>
  </cellXfs>
  <cellStyles count="8212">
    <cellStyle name="_Comma" xfId="8" xr:uid="{9161A8D9-8407-45C6-BF44-4AADC7C6056A}"/>
    <cellStyle name="_Comma 2" xfId="9" xr:uid="{3D2125F5-A29D-45DE-916C-118367720E7B}"/>
    <cellStyle name="_Comma 3" xfId="10" xr:uid="{0F8F9AEF-FE28-43FE-A194-79C3E4A14D64}"/>
    <cellStyle name="_Comma 4" xfId="11" xr:uid="{1A728C0D-FA3F-485A-9054-12263691AA6E}"/>
    <cellStyle name="_Comma 5" xfId="12" xr:uid="{698A7904-7259-42A8-A9CB-638B16F98BA8}"/>
    <cellStyle name="_Comma 6" xfId="13" xr:uid="{20D84E4D-9305-40D9-9967-27AFD90339BD}"/>
    <cellStyle name="_Currency" xfId="14" xr:uid="{DCAF99C1-08BD-4973-A856-3C87F06878B6}"/>
    <cellStyle name="_Currency 2" xfId="15" xr:uid="{E1B3DA69-FAF0-433A-83F2-F13C04091B38}"/>
    <cellStyle name="_Currency 3" xfId="16" xr:uid="{2CF9EE36-AC4F-4824-A231-302B541755C5}"/>
    <cellStyle name="_Currency 4" xfId="17" xr:uid="{7E999E7E-9951-427E-9625-A3846BBDD630}"/>
    <cellStyle name="_Currency 5" xfId="18" xr:uid="{39E56221-F2FA-4A25-9E69-BCA45F0BC033}"/>
    <cellStyle name="_Currency 6" xfId="19" xr:uid="{89E00C0C-57D8-4086-87CD-AC9A600083C5}"/>
    <cellStyle name="_Currency 7" xfId="20" xr:uid="{E1BD4F7E-3D00-49A3-BE86-29D88A2EF007}"/>
    <cellStyle name="_CurrencySpace" xfId="21" xr:uid="{EA97673A-ECB6-449D-8341-C69019C80C7A}"/>
    <cellStyle name="_CurrencySpace 2" xfId="22" xr:uid="{13D517C4-CD66-4197-96D3-D7DAC8F9B7BD}"/>
    <cellStyle name="_CurrencySpace 3" xfId="23" xr:uid="{95467041-1561-4326-B2C7-9226955A7C60}"/>
    <cellStyle name="_CurrencySpace 4" xfId="24" xr:uid="{4824E82A-A076-4123-9024-A5ACADE85331}"/>
    <cellStyle name="_CurrencySpace 5" xfId="25" xr:uid="{DC678A35-C202-41E6-B6D1-145B51EA8AA6}"/>
    <cellStyle name="_CurrencySpace 6" xfId="26" xr:uid="{0F946C47-7ABE-4EBE-B415-8B82C6034EA3}"/>
    <cellStyle name="_Multiple" xfId="27" xr:uid="{F1E764D9-1C4F-41E6-B6F7-1DB31834A9A7}"/>
    <cellStyle name="_Multiple 2" xfId="28" xr:uid="{84882BA1-CFC2-439D-AA27-82AB829FA38B}"/>
    <cellStyle name="_Multiple 3" xfId="29" xr:uid="{7CC00D2D-BEF9-4E08-9804-EB11FE62682A}"/>
    <cellStyle name="_Multiple 4" xfId="30" xr:uid="{65E355C6-23D9-4CA8-AB5C-B6BDC40C4D13}"/>
    <cellStyle name="_Multiple 5" xfId="31" xr:uid="{AAA1C4AE-4EDA-488E-ABF7-7F895209382C}"/>
    <cellStyle name="_Multiple 6" xfId="32" xr:uid="{4A28CA07-0257-49CB-8679-70CB1F56D6C5}"/>
    <cellStyle name="_MultipleSpace" xfId="33" xr:uid="{501F0791-3E9F-4F78-B549-39B0D662F32A}"/>
    <cellStyle name="_MultipleSpace 2" xfId="34" xr:uid="{AE2A117C-A531-49B4-98D9-680F2A8C8778}"/>
    <cellStyle name="_MultipleSpace 3" xfId="35" xr:uid="{F80A8F80-7D31-4AE8-9E71-BFA1371447AC}"/>
    <cellStyle name="_MultipleSpace 4" xfId="36" xr:uid="{EF8DF8F7-4C1E-47D6-AD83-28A4CF85420B}"/>
    <cellStyle name="_MultipleSpace 5" xfId="37" xr:uid="{8BC83BE1-38E7-44B8-AB68-170CDB5DF097}"/>
    <cellStyle name="_MultipleSpace 6" xfId="38" xr:uid="{D1069BF4-3C83-46B7-AB26-32FB2E4FB46A}"/>
    <cellStyle name="_Percent" xfId="39" xr:uid="{86B9145A-46F4-42CC-8C51-C239617EA3E3}"/>
    <cellStyle name="_Percent 2" xfId="40" xr:uid="{E1CC3E5D-603D-4A19-A0D3-CE88245F29B9}"/>
    <cellStyle name="_Percent 3" xfId="41" xr:uid="{BCE7B083-9849-4461-ADE5-647416920E5F}"/>
    <cellStyle name="_Percent 4" xfId="42" xr:uid="{D6B963A9-DE39-48E2-A1E3-65A911119478}"/>
    <cellStyle name="_Percent 5" xfId="43" xr:uid="{D48A9E30-1FC4-4D70-BB51-C7332111B08D}"/>
    <cellStyle name="_Percent 6" xfId="44" xr:uid="{B6FA027A-8499-4301-AE24-35015D9D33B0}"/>
    <cellStyle name="_PercentSpace" xfId="45" xr:uid="{D5B20B36-3213-450A-AE96-028CE9BCB4A0}"/>
    <cellStyle name="_PercentSpace 2" xfId="46" xr:uid="{459E4F56-F15D-4A11-B80F-509F66A3B668}"/>
    <cellStyle name="_PercentSpace 3" xfId="47" xr:uid="{DF532742-CB23-4305-9EC0-41D0A9FAE7C2}"/>
    <cellStyle name="_PercentSpace 4" xfId="48" xr:uid="{9E17913F-2E9B-460E-B4C0-98C904393353}"/>
    <cellStyle name="_PercentSpace 5" xfId="49" xr:uid="{43ACC281-0A49-4939-8D2D-9CBFD8DADC37}"/>
    <cellStyle name="_PercentSpace 6" xfId="50" xr:uid="{E276D7BD-8BC3-42DD-A1D8-05AE098F51D6}"/>
    <cellStyle name="_PMC - analysis_08.08.07" xfId="51" xr:uid="{A63DBE31-1684-49CC-B1A1-FAC535AB6B47}"/>
    <cellStyle name="_PMC - analysis_08.08.07 2" xfId="52" xr:uid="{8A6B5EDC-FEFB-4022-A01A-B0056D5632A6}"/>
    <cellStyle name="_PMC - analysis_08.08.07 3" xfId="53" xr:uid="{9795736B-F506-4766-B0B3-18724B2A4F10}"/>
    <cellStyle name="_PMC - analysis_08.08.07 4" xfId="54" xr:uid="{348645EC-6F62-4AA0-A651-6C11B7EDAFB3}"/>
    <cellStyle name="_PMC - analysis_08.08.07 5" xfId="55" xr:uid="{822E3319-1B21-43D5-81BD-1CB3F5B2B51F}"/>
    <cellStyle name="_PMC - analysis_08.08.07 6" xfId="56" xr:uid="{D237742C-039E-4A42-B129-F17AD90E2D29}"/>
    <cellStyle name="_TGT_Live_" xfId="57" xr:uid="{7E0A3BF9-AE27-463C-B17A-CC3C9228C90E}"/>
    <cellStyle name="-" xfId="3513" xr:uid="{15754841-6C76-4E0F-BC57-042B843D2002}"/>
    <cellStyle name="’Ê‰Ý [0.00]_GE 3 MINIMUM" xfId="3515" xr:uid="{8CEEBF3F-CD2A-4E0D-B831-BAB921AEF772}"/>
    <cellStyle name="’Ê‰Ý_GE 3 MINIMUM" xfId="3516" xr:uid="{AFA243C2-CA27-4E32-85EF-263FD2EE2C9F}"/>
    <cellStyle name="]_x000a__x000a_Extension=conv.dll_x000a__x000a_MS-DOS Tools Extentions=C:\DOS\MSTOOLS.DLL_x000a__x000a__x000a__x000a_[Settings]_x000a__x000a_UNDELETE.DLL=C:\DOS\MSTOOLS.DLL_x000a__x000a_W" xfId="2" xr:uid="{FB1DE9BE-25B0-4429-A1C8-7EE8D6EA60D4}"/>
    <cellStyle name="]_x000a__x000a_Extension=conv.dll_x000a__x000a_MS-DOS Tools Extentions=C:\DOS\MSTOOLS.DLL_x000a__x000a__x000a__x000a_[Settings]_x000a__x000a_UNDELETE.DLL=C:\DOS\MSTOOLS.DLL_x000a__x000a_W 2" xfId="3" xr:uid="{E198AAA7-7A00-4647-9271-FDA662BDEF75}"/>
    <cellStyle name="]_x000a__x000a_Extension=conv.dll_x000a__x000a_MS-DOS Tools Extentions=C:\DOS\MSTOOLS.DLL_x000a__x000a__x000a__x000a_[Settings]_x000a__x000a_UNDELETE.DLL=C:\DOS\MSTOOLS.DLL_x000a__x000a_W 3" xfId="4" xr:uid="{2F60AD1A-6D9B-49E7-BA1D-61311691F130}"/>
    <cellStyle name="]_x000a__x000a_Extension=conv.dll_x000a__x000a_MS-DOS Tools Extentions=C:\DOS\MSTOOLS.DLL_x000a__x000a__x000a__x000a_[Settings]_x000a__x000a_UNDELETE.DLL=C:\DOS\MSTOOLS.DLL_x000a__x000a_W 4" xfId="5" xr:uid="{5C4F498A-B98B-479C-B2DF-8B3257E44F7D}"/>
    <cellStyle name="]_x000a__x000a_Extension=conv.dll_x000a__x000a_MS-DOS Tools Extentions=C:\DOS\MSTOOLS.DLL_x000a__x000a__x000a__x000a_[Settings]_x000a__x000a_UNDELETE.DLL=C:\DOS\MSTOOLS.DLL_x000a__x000a_W 5" xfId="6" xr:uid="{0C1F4452-47AB-4321-9807-56D03EC673E3}"/>
    <cellStyle name="]_x000a__x000a_Extension=conv.dll_x000a__x000a_MS-DOS Tools Extentions=C:\DOS\MSTOOLS.DLL_x000a__x000a__x000a__x000a_[Settings]_x000a__x000a_UNDELETE.DLL=C:\DOS\MSTOOLS.DLL_x000a__x000a_W 6" xfId="7" xr:uid="{14634145-40C1-4CF9-8314-747F860FCF82}"/>
    <cellStyle name="******************************************" xfId="3307" xr:uid="{DAD9DA2D-367D-49E1-A8C9-C7BDE406FE7B}"/>
    <cellStyle name="****************************************** 2" xfId="3308" xr:uid="{9B4D343A-5233-4281-98A5-271C96E38795}"/>
    <cellStyle name="•W_GE 3 MINIMUM" xfId="3530" xr:uid="{B70D4E58-FE03-4240-A62E-08AC501BE4D6}"/>
    <cellStyle name="•W€_Comparables" xfId="3529" xr:uid="{AC1F241F-9FFC-426B-A10F-C886DAF69B66}"/>
    <cellStyle name="=C:\WINNT35\SYSTEM32\COMMAND.COM" xfId="3309" xr:uid="{C5028D1B-49C4-43A2-84B6-ECF8C0003D74}"/>
    <cellStyle name="$ 1 decimal" xfId="3514" xr:uid="{2DFF10B3-A83E-4BF0-8178-EB96D8BA280A}"/>
    <cellStyle name="£ BP" xfId="3517" xr:uid="{57CF222F-79F4-46F5-B376-CEB054090D24}"/>
    <cellStyle name="£ BP 2" xfId="3518" xr:uid="{513E0D80-FED4-46F0-8AFF-B09B75560170}"/>
    <cellStyle name="£ BP 3" xfId="3519" xr:uid="{9E543056-1686-4B21-BB0A-26A39AE2722A}"/>
    <cellStyle name="£ BP 4" xfId="3520" xr:uid="{5F3C1B68-A2DB-45A1-9C71-35A2CB7C3B33}"/>
    <cellStyle name="£ BP 5" xfId="3521" xr:uid="{013E8309-AF7D-49DA-988D-97478DFE3447}"/>
    <cellStyle name="£ BP 6" xfId="3522" xr:uid="{7F47707B-4F2F-4B16-87ED-B9574854C667}"/>
    <cellStyle name="¥ JY" xfId="3523" xr:uid="{C2E16062-9655-4DD7-8BC1-D32875F206FC}"/>
    <cellStyle name="¥ JY 2" xfId="3524" xr:uid="{B7D81A1F-660C-4D59-911C-017D4CF1C4B6}"/>
    <cellStyle name="¥ JY 3" xfId="3525" xr:uid="{3702F16B-575D-4488-96DC-B0E1D5786242}"/>
    <cellStyle name="¥ JY 4" xfId="3526" xr:uid="{90C8DCB7-A75C-467F-82EF-734167BA0768}"/>
    <cellStyle name="¥ JY 5" xfId="3527" xr:uid="{106D7456-431C-4FC4-8EB0-5F2F118159EC}"/>
    <cellStyle name="¥ JY 6" xfId="3528" xr:uid="{28EDAAAB-10F6-48B9-B5C7-A7B44D16A5DF}"/>
    <cellStyle name="0" xfId="3531" xr:uid="{83DD78B0-8CEB-4553-A44F-A00061366F97}"/>
    <cellStyle name="0 2" xfId="3532" xr:uid="{AD7C838D-F16E-44F3-88C5-A2C751D08681}"/>
    <cellStyle name="0.0" xfId="3541" xr:uid="{A334DACF-3AAB-40B7-B9F8-64F301E0FB5B}"/>
    <cellStyle name="0.0 2" xfId="3542" xr:uid="{8DEE650A-6B8D-472C-B7C3-865B9D16C6C4}"/>
    <cellStyle name="0.0_Diageo FRS 17 and Capacity" xfId="3545" xr:uid="{003C8629-BF97-4601-9E9C-52D3197D3DE7}"/>
    <cellStyle name="0.0%" xfId="3543" xr:uid="{5CA2F2DC-F7BA-470D-9E35-18774B0CCAED}"/>
    <cellStyle name="0.0% 2" xfId="3544" xr:uid="{E4FE15A7-D0D3-4549-9CE9-22B9733D5B7E}"/>
    <cellStyle name="0.00" xfId="3546" xr:uid="{FE6C5061-939E-4469-AB47-01D28B01362F}"/>
    <cellStyle name="0.00 2" xfId="3547" xr:uid="{57BB1777-D502-4D0C-9F09-0E6E40F985B4}"/>
    <cellStyle name="0.00%" xfId="3548" xr:uid="{5A90FCC7-0647-490A-92D6-7096E92B9DE1}"/>
    <cellStyle name="0.00% 2" xfId="3549" xr:uid="{F71947D3-CC06-464A-A179-635958D595E5}"/>
    <cellStyle name="0%" xfId="3533" xr:uid="{018F9DC3-A171-494C-854B-56428C49051A}"/>
    <cellStyle name="0% 2" xfId="3534" xr:uid="{E4581147-23D3-45AE-A9D8-05EEA064A0B3}"/>
    <cellStyle name="0% 3" xfId="3535" xr:uid="{5C58ABD0-4016-4869-ADCF-EF8D25A5B810}"/>
    <cellStyle name="0% 4" xfId="3536" xr:uid="{440B3A16-37A1-4F66-966D-A020FFF2C540}"/>
    <cellStyle name="0% 5" xfId="3537" xr:uid="{D6F07886-A5C2-44BE-AFA8-56192944B047}"/>
    <cellStyle name="0% 6" xfId="3538" xr:uid="{48E53DE2-E4D5-445A-8C35-DA6E4690B686}"/>
    <cellStyle name="0% 7" xfId="3539" xr:uid="{48C37450-9512-4888-800E-ABD3E1EEDBF2}"/>
    <cellStyle name="0% 8" xfId="3540" xr:uid="{BDC01882-F7FE-4BC4-A04A-E62315148128}"/>
    <cellStyle name="1,comma" xfId="3550" xr:uid="{C905480A-DCA0-44B9-80C3-6CBC9FB1BFF8}"/>
    <cellStyle name="1,comma 2" xfId="3551" xr:uid="{BDDFA39C-1C97-43B1-9731-B9200A0BCBA1}"/>
    <cellStyle name="1,comma 3" xfId="3552" xr:uid="{7E9B3982-2752-4AE1-A4C0-AA5022282EDA}"/>
    <cellStyle name="1,comma 4" xfId="3553" xr:uid="{7BB347E8-9E1E-451E-B4AB-E2B5CCA035D4}"/>
    <cellStyle name="1,comma 5" xfId="3554" xr:uid="{2DA647B3-66C9-4663-B78F-2AEF782DFF96}"/>
    <cellStyle name="1,comma 6" xfId="3555" xr:uid="{844C5E8D-E6B3-4EF1-B6E3-A4F9059A475A}"/>
    <cellStyle name="1,comma 7" xfId="3556" xr:uid="{0C4CC47A-F7FC-4240-BC96-26923823D9DF}"/>
    <cellStyle name="1,comma 8" xfId="3557" xr:uid="{C26D25BB-FA15-4AD4-819D-509C95C3B39A}"/>
    <cellStyle name="20% - Accent1 10" xfId="58" xr:uid="{F791BD21-716B-445F-978A-B5E1535955D9}"/>
    <cellStyle name="20% - Accent1 10 2" xfId="59" xr:uid="{33DC3B0A-5068-4011-AD67-5D5B255E032E}"/>
    <cellStyle name="20% - Accent1 10 2 2" xfId="60" xr:uid="{6831AFF3-356F-4E38-A406-8AA9A875F6AC}"/>
    <cellStyle name="20% - Accent1 10 2 2 2" xfId="7158" xr:uid="{69546E57-7293-40F3-B474-D61E08359AEA}"/>
    <cellStyle name="20% - Accent1 10 2 3" xfId="61" xr:uid="{E929AC2E-6E20-4F6C-8BD9-2C3B3AB8F189}"/>
    <cellStyle name="20% - Accent1 10 2 3 2" xfId="7159" xr:uid="{3B3BF3D5-45C7-4D24-95C8-11D82AD10184}"/>
    <cellStyle name="20% - Accent1 10 2 4" xfId="3558" xr:uid="{5312F208-54B8-4E9E-9734-21230D4F1354}"/>
    <cellStyle name="20% - Accent1 10 2 5" xfId="7157" xr:uid="{1E94EDC2-87FB-47CD-B9F7-82F9381DDC07}"/>
    <cellStyle name="20% - Accent1 10 3" xfId="62" xr:uid="{563CD4D9-AB59-4BB6-9773-9A3ED39DDFBE}"/>
    <cellStyle name="20% - Accent1 10 3 2" xfId="3559" xr:uid="{4771649C-297A-42E5-84FC-0412A67B122B}"/>
    <cellStyle name="20% - Accent1 10 4" xfId="3560" xr:uid="{278B7D9A-C03C-4F35-9307-EDD635CEA3CD}"/>
    <cellStyle name="20% - Accent1 10 5" xfId="3561" xr:uid="{67133192-6534-4B3B-8ECE-A2CC9FCC04A8}"/>
    <cellStyle name="20% - Accent1 10 6" xfId="3562" xr:uid="{11D4FB3E-80C6-4F3E-B6D3-62927627B92F}"/>
    <cellStyle name="20% - Accent1 10 7" xfId="3563" xr:uid="{C9341E18-EC2C-4988-9A29-1DDA83BB6EBB}"/>
    <cellStyle name="20% - Accent1 11" xfId="63" xr:uid="{469B0A50-7721-47EE-866D-7A7E4233D141}"/>
    <cellStyle name="20% - Accent1 11 2" xfId="64" xr:uid="{A969E3F1-1469-469E-BF7B-40F0523CE52E}"/>
    <cellStyle name="20% - Accent1 11 2 2" xfId="65" xr:uid="{90B1A2DA-BC29-47AC-A2BF-C38B702EBA5F}"/>
    <cellStyle name="20% - Accent1 11 2 2 2" xfId="7161" xr:uid="{21DD90F5-1091-4604-816B-C70EB2954B4E}"/>
    <cellStyle name="20% - Accent1 11 2 3" xfId="66" xr:uid="{A444D223-7040-4959-96DE-C1340962B13A}"/>
    <cellStyle name="20% - Accent1 11 2 3 2" xfId="7162" xr:uid="{1A173428-95E0-4BD8-8371-14878AA62C73}"/>
    <cellStyle name="20% - Accent1 11 2 4" xfId="3564" xr:uid="{5C6865BA-8FC6-4C0A-A4A3-5D171447A842}"/>
    <cellStyle name="20% - Accent1 11 2 5" xfId="7160" xr:uid="{49149C9F-0E06-43A8-859A-0D743F406546}"/>
    <cellStyle name="20% - Accent1 11 3" xfId="67" xr:uid="{6F4FDCF7-218D-4726-88C6-2DD88547DDEC}"/>
    <cellStyle name="20% - Accent1 11 3 2" xfId="3565" xr:uid="{9DEC882E-3567-4230-AC18-293E1638B655}"/>
    <cellStyle name="20% - Accent1 11 4" xfId="3566" xr:uid="{0171356A-50C7-4ADE-859A-1B779B41B120}"/>
    <cellStyle name="20% - Accent1 11 5" xfId="3567" xr:uid="{5C270A60-25B3-4740-99BE-ABD022C6972B}"/>
    <cellStyle name="20% - Accent1 11 6" xfId="3568" xr:uid="{90FB59A5-B776-4A7C-8F88-A7CE47738021}"/>
    <cellStyle name="20% - Accent1 11 7" xfId="3569" xr:uid="{20EDB256-80C5-4209-B883-AFA0F63A12FF}"/>
    <cellStyle name="20% - Accent1 12" xfId="68" xr:uid="{0A0657D3-7C07-48A2-A35A-D0B46CD7328D}"/>
    <cellStyle name="20% - Accent1 12 2" xfId="69" xr:uid="{E6D7F01A-4A36-4D70-81F9-792E3166A9A0}"/>
    <cellStyle name="20% - Accent1 12 2 2" xfId="70" xr:uid="{86D83ED0-97E9-472B-B443-4E70E0B5453B}"/>
    <cellStyle name="20% - Accent1 12 2 2 2" xfId="7164" xr:uid="{13CAA655-1653-4C34-B466-2804CD7F1BBC}"/>
    <cellStyle name="20% - Accent1 12 2 3" xfId="71" xr:uid="{77405E96-4F08-4A8C-87EB-6E82F7B5B9A6}"/>
    <cellStyle name="20% - Accent1 12 2 3 2" xfId="7165" xr:uid="{0E2EA7E7-E4EB-48EB-952F-68C7E97FE7E0}"/>
    <cellStyle name="20% - Accent1 12 2 4" xfId="3570" xr:uid="{ACFD264F-F7CE-40CB-B83F-1AD74E280B02}"/>
    <cellStyle name="20% - Accent1 12 2 5" xfId="7163" xr:uid="{73194B55-2408-4E73-A982-BB433F787239}"/>
    <cellStyle name="20% - Accent1 12 3" xfId="72" xr:uid="{37405E07-FFDB-4BEF-8D61-0F04150542CB}"/>
    <cellStyle name="20% - Accent1 12 3 2" xfId="3571" xr:uid="{E2D43561-37D7-400B-AEB4-9AD67A090496}"/>
    <cellStyle name="20% - Accent1 12 4" xfId="3572" xr:uid="{1B34E665-ED16-4B43-838E-D4065E0D40BE}"/>
    <cellStyle name="20% - Accent1 12 5" xfId="3573" xr:uid="{5C0DFA94-C5BE-4D91-8421-3438E5B21AAE}"/>
    <cellStyle name="20% - Accent1 12 6" xfId="3574" xr:uid="{A39D228A-16D6-412C-AEA3-7132C5E9A9B7}"/>
    <cellStyle name="20% - Accent1 12 7" xfId="3575" xr:uid="{0C94E095-66C8-43F1-A5A8-1A3960627448}"/>
    <cellStyle name="20% - Accent1 13" xfId="73" xr:uid="{120440DE-4446-4601-BFE7-FF0DDF90367C}"/>
    <cellStyle name="20% - Accent1 13 2" xfId="74" xr:uid="{0FDFCE91-3517-4E1E-98B2-5E7547BE0828}"/>
    <cellStyle name="20% - Accent1 13 2 2" xfId="3576" xr:uid="{83B87A0D-218E-44AF-85BA-835C8DD2E7A8}"/>
    <cellStyle name="20% - Accent1 14" xfId="75" xr:uid="{18D22F36-3CEC-475A-93EF-4A35880EBCB6}"/>
    <cellStyle name="20% - Accent1 14 2" xfId="76" xr:uid="{66A2C7AD-1681-4F19-A6D1-A4682DC0CE2D}"/>
    <cellStyle name="20% - Accent1 14 2 2" xfId="3577" xr:uid="{CE4EC20A-2345-4916-AA0E-3A3133A76D3E}"/>
    <cellStyle name="20% - Accent1 15" xfId="77" xr:uid="{3FCDEE95-3641-4946-96B9-159975881E50}"/>
    <cellStyle name="20% - Accent1 15 2" xfId="78" xr:uid="{8E2B5642-AE43-4B44-80D5-BE7F58F1A0BF}"/>
    <cellStyle name="20% - Accent1 15 2 2" xfId="3578" xr:uid="{C70CAAB2-6078-47EC-9D2F-27359072076A}"/>
    <cellStyle name="20% - Accent1 16" xfId="79" xr:uid="{C07E25B7-3E79-4FBE-8C59-8A2E4007A623}"/>
    <cellStyle name="20% - Accent1 16 2" xfId="80" xr:uid="{E6C4DDFB-DBAA-43D9-9449-5E9EA9A190ED}"/>
    <cellStyle name="20% - Accent1 16 2 2" xfId="3579" xr:uid="{43BEBEE1-87F7-487F-8519-8288A4A211E4}"/>
    <cellStyle name="20% - Accent1 17" xfId="81" xr:uid="{3A612E6C-FAAF-450E-8818-B7262A4FB177}"/>
    <cellStyle name="20% - Accent1 17 2" xfId="82" xr:uid="{25D71F07-2A4F-4C46-95C8-16595CB66B25}"/>
    <cellStyle name="20% - Accent1 17 2 2" xfId="3580" xr:uid="{9BFF967B-00E6-45AF-9CC6-872964E94D4B}"/>
    <cellStyle name="20% - Accent1 18" xfId="83" xr:uid="{C8B00858-8464-4D78-8AF9-864C12422FD6}"/>
    <cellStyle name="20% - Accent1 18 2" xfId="84" xr:uid="{A7567C97-9EE7-4B76-BA43-FFAB46AB724D}"/>
    <cellStyle name="20% - Accent1 18 2 2" xfId="3581" xr:uid="{76432D17-B540-4B02-AA95-D19C93CE8F60}"/>
    <cellStyle name="20% - Accent1 19" xfId="85" xr:uid="{3FC43E9C-174B-4D42-983E-7C83A9905176}"/>
    <cellStyle name="20% - Accent1 19 2" xfId="86" xr:uid="{7EB91007-CD7C-4C05-A01F-0577A47C9F7A}"/>
    <cellStyle name="20% - Accent1 19 2 2" xfId="3582" xr:uid="{2E3FE0EA-473C-4D31-A111-A7A488B7F447}"/>
    <cellStyle name="20% - Accent1 2" xfId="87" xr:uid="{914C20C8-A80B-4237-85FC-AD1C18BDC4AF}"/>
    <cellStyle name="20% - Accent1 2 2" xfId="88" xr:uid="{FB63863D-0079-4975-BF35-0D1E502CDA2A}"/>
    <cellStyle name="20% - Accent1 2 2 2" xfId="89" xr:uid="{127855A0-2D32-4B4E-84BD-1E8855F4239C}"/>
    <cellStyle name="20% - Accent1 2 2 2 2" xfId="90" xr:uid="{B72936C1-A747-43FA-A3E6-2A2341413C23}"/>
    <cellStyle name="20% - Accent1 2 2 2 2 2" xfId="7168" xr:uid="{FA25AF76-0032-461D-ABB6-5EB762D0417E}"/>
    <cellStyle name="20% - Accent1 2 2 2 3" xfId="91" xr:uid="{01AF15D0-8A55-402F-9130-6E3F3C0004AA}"/>
    <cellStyle name="20% - Accent1 2 2 2 3 2" xfId="7169" xr:uid="{079D6B32-7323-424D-B27C-DCD8F33EF3D7}"/>
    <cellStyle name="20% - Accent1 2 2 2 4" xfId="7167" xr:uid="{48820B15-9C25-41ED-A5B7-84FFA070AB3D}"/>
    <cellStyle name="20% - Accent1 2 2 3" xfId="92" xr:uid="{94374E74-152D-421F-801C-B55E33783035}"/>
    <cellStyle name="20% - Accent1 2 2 3 2" xfId="7170" xr:uid="{3CB48269-EF11-4544-8450-D7D228BA722B}"/>
    <cellStyle name="20% - Accent1 2 2 4" xfId="93" xr:uid="{C63A6D8F-6CB8-478C-86FD-3047F56286C3}"/>
    <cellStyle name="20% - Accent1 2 2 4 2" xfId="7171" xr:uid="{65B26D86-80D3-4794-AED1-3C961C5880E5}"/>
    <cellStyle name="20% - Accent1 2 2 5" xfId="3417" xr:uid="{4CD2B1BF-7135-4006-8217-8AA7ABE2D225}"/>
    <cellStyle name="20% - Accent1 2 2 6" xfId="7166" xr:uid="{9DBB1A74-7D2E-45D2-971C-AFC782B192B7}"/>
    <cellStyle name="20% - Accent1 2 3" xfId="94" xr:uid="{2F6D0E5D-5709-4970-AAF4-178AE499F5C9}"/>
    <cellStyle name="20% - Accent1 2 3 2" xfId="3456" xr:uid="{53D7C7BA-C8FF-471D-A4C3-707B4C855DCF}"/>
    <cellStyle name="20% - Accent1 2 3 3" xfId="7760" xr:uid="{75668D9D-9265-4C12-8EC7-970F1171C3FB}"/>
    <cellStyle name="20% - Accent1 2 4" xfId="3583" xr:uid="{2438CB5E-1059-421D-8E28-05C489DA9F80}"/>
    <cellStyle name="20% - Accent1 2 5" xfId="3584" xr:uid="{6DD396C5-02D0-420E-8AC7-248667A19733}"/>
    <cellStyle name="20% - Accent1 2 6" xfId="3585" xr:uid="{43B35A22-7D78-4BE9-AAE3-3E488E44A6C8}"/>
    <cellStyle name="20% - Accent1 2 7" xfId="3586" xr:uid="{469868F9-5251-4BD6-9476-A5A1A677B6D2}"/>
    <cellStyle name="20% - Accent1 2 8" xfId="3377" xr:uid="{E40F1306-BDC7-4335-992B-28F23E8A3E6B}"/>
    <cellStyle name="20% - Accent1 2 9" xfId="7728" xr:uid="{A537B59F-EA36-4377-BA72-3473EA152E4C}"/>
    <cellStyle name="20% - Accent1 20" xfId="95" xr:uid="{6CC537BB-3940-4097-B781-00705AF2C011}"/>
    <cellStyle name="20% - Accent1 20 2" xfId="96" xr:uid="{1CABCEE3-7ACF-45F4-A633-7FC0D3BA7F86}"/>
    <cellStyle name="20% - Accent1 20 2 2" xfId="3587" xr:uid="{335B21E3-F289-4DDC-A7E2-3A3E3B812F4B}"/>
    <cellStyle name="20% - Accent1 21" xfId="97" xr:uid="{329EC35D-C520-49DB-BD5B-4016F6BE5BF9}"/>
    <cellStyle name="20% - Accent1 21 2" xfId="98" xr:uid="{E702E4B9-5963-4DE8-850B-7297C4D5BABC}"/>
    <cellStyle name="20% - Accent1 21 2 2" xfId="3588" xr:uid="{E65FD64F-A544-477A-A95D-2CC830DC90D0}"/>
    <cellStyle name="20% - Accent1 22" xfId="99" xr:uid="{5BEBD3A8-E55B-4B1F-9D0C-D9AFC1CA7580}"/>
    <cellStyle name="20% - Accent1 22 2" xfId="100" xr:uid="{B1E74ABE-45D3-4F98-A367-5975223E2B57}"/>
    <cellStyle name="20% - Accent1 23" xfId="101" xr:uid="{0C423844-BB9B-4554-B088-8E46F9DFD6E7}"/>
    <cellStyle name="20% - Accent1 23 2" xfId="102" xr:uid="{FF2619FA-C4D2-4531-BCFB-8F56C9436634}"/>
    <cellStyle name="20% - Accent1 24" xfId="103" xr:uid="{64DB3359-6D4B-4847-824A-795074A55562}"/>
    <cellStyle name="20% - Accent1 24 2" xfId="104" xr:uid="{60EEC676-685B-4C08-81A8-B4DDC43C6864}"/>
    <cellStyle name="20% - Accent1 25" xfId="105" xr:uid="{FF23BB1A-71F6-450A-B8F3-24170C4C46ED}"/>
    <cellStyle name="20% - Accent1 26" xfId="106" xr:uid="{AA9EAE7B-CE1B-4306-B53C-3427B2D363B8}"/>
    <cellStyle name="20% - Accent1 26 2" xfId="7172" xr:uid="{A8A842B7-0588-477E-9881-5FA1E6ED72EA}"/>
    <cellStyle name="20% - Accent1 27" xfId="7712" xr:uid="{EBE1EE73-3A00-4B20-B31A-D0A00DF9FFBA}"/>
    <cellStyle name="20% - Accent1 3" xfId="107" xr:uid="{B229B59C-4DDF-4D4D-973D-9A3F5661D34E}"/>
    <cellStyle name="20% - Accent1 3 2" xfId="108" xr:uid="{55E2020F-3B52-4261-B21A-A4FDA3C6AE2D}"/>
    <cellStyle name="20% - Accent1 3 2 2" xfId="109" xr:uid="{6694627C-F247-4064-8018-BA4CB093E25C}"/>
    <cellStyle name="20% - Accent1 3 2 2 2" xfId="7174" xr:uid="{AC07923D-CAA2-4C00-B70F-C16FA9E15F0C}"/>
    <cellStyle name="20% - Accent1 3 2 3" xfId="110" xr:uid="{7BAE87F5-E867-43B1-B7DB-A7A6ECC2069E}"/>
    <cellStyle name="20% - Accent1 3 2 3 2" xfId="7175" xr:uid="{4308E122-4475-4442-AC00-3DF66ABB56FC}"/>
    <cellStyle name="20% - Accent1 3 2 4" xfId="3589" xr:uid="{4ABAA5DF-635E-4E32-BB41-69BA08D2DFAC}"/>
    <cellStyle name="20% - Accent1 3 2 5" xfId="7173" xr:uid="{25264BA0-4522-4E6F-B915-2346E9F8902A}"/>
    <cellStyle name="20% - Accent1 3 3" xfId="111" xr:uid="{00FE09AC-16B9-4BD2-8CE3-C697A08CC874}"/>
    <cellStyle name="20% - Accent1 3 3 2" xfId="3590" xr:uid="{A624B081-3EC6-4613-87DE-67EECB9A6EFC}"/>
    <cellStyle name="20% - Accent1 3 4" xfId="3591" xr:uid="{B8AD0094-D651-41DA-9755-1162B2B94418}"/>
    <cellStyle name="20% - Accent1 3 5" xfId="3592" xr:uid="{C1D1AEE8-FED4-4964-9B89-3ECC7AE4B435}"/>
    <cellStyle name="20% - Accent1 3 6" xfId="3593" xr:uid="{851CAB51-EF26-4D72-AD60-A6CB50C43C1E}"/>
    <cellStyle name="20% - Accent1 3 7" xfId="3594" xr:uid="{02042B18-3B97-4BD0-B686-0092DF2C6F15}"/>
    <cellStyle name="20% - Accent1 3 8" xfId="3447" xr:uid="{019E8CA3-F5D3-4AC5-B306-1223DF757A05}"/>
    <cellStyle name="20% - Accent1 3 9" xfId="7755" xr:uid="{12FCE1AB-6157-410F-8542-2C019F0C7869}"/>
    <cellStyle name="20% - Accent1 4" xfId="112" xr:uid="{575A126B-51D8-458F-BF6E-75D412212811}"/>
    <cellStyle name="20% - Accent1 4 2" xfId="113" xr:uid="{C084F17A-23F7-45FF-87BC-C1424D458CBA}"/>
    <cellStyle name="20% - Accent1 4 2 2" xfId="114" xr:uid="{BDF5457F-5E5D-48D7-ABEF-9AF4D4C82BA8}"/>
    <cellStyle name="20% - Accent1 4 2 2 2" xfId="7177" xr:uid="{5338D936-9614-4899-9CA0-9A0FCA1BB5B4}"/>
    <cellStyle name="20% - Accent1 4 2 3" xfId="115" xr:uid="{95659F8E-0B12-4486-BC5F-62B16FD33F32}"/>
    <cellStyle name="20% - Accent1 4 2 3 2" xfId="7178" xr:uid="{FE492623-091D-4C38-8E10-F6C43C94CA58}"/>
    <cellStyle name="20% - Accent1 4 2 4" xfId="3596" xr:uid="{8A220D05-6F0B-48AF-9C6A-611387982B72}"/>
    <cellStyle name="20% - Accent1 4 2 5" xfId="7176" xr:uid="{E2C556A6-3FD9-4D65-B529-655116705872}"/>
    <cellStyle name="20% - Accent1 4 3" xfId="116" xr:uid="{DC08E9E8-0968-4D6F-AC88-82548A7EC440}"/>
    <cellStyle name="20% - Accent1 4 3 2" xfId="3597" xr:uid="{93B01BB7-64C8-4DFD-8515-E2B4003537B7}"/>
    <cellStyle name="20% - Accent1 4 4" xfId="3598" xr:uid="{2206FBD9-18B9-4F24-8D5E-6AB720C4DA49}"/>
    <cellStyle name="20% - Accent1 4 5" xfId="3599" xr:uid="{0D0A0EE9-92FC-4825-8B21-0766BB9C7869}"/>
    <cellStyle name="20% - Accent1 4 6" xfId="3600" xr:uid="{9328AF15-5DEB-44B6-9FD0-3D959ED58B65}"/>
    <cellStyle name="20% - Accent1 4 7" xfId="3601" xr:uid="{5E520FB9-0D37-4182-AB50-C7DF1B336B20}"/>
    <cellStyle name="20% - Accent1 4 8" xfId="3595" xr:uid="{F538AAD6-969F-44AD-91CF-AE2B57348385}"/>
    <cellStyle name="20% - Accent1 5" xfId="117" xr:uid="{C5C7DCB7-1B6E-4D61-81D6-811D7D89B481}"/>
    <cellStyle name="20% - Accent1 5 2" xfId="118" xr:uid="{919331B1-4689-44F3-92F8-05441C7601A0}"/>
    <cellStyle name="20% - Accent1 5 2 2" xfId="119" xr:uid="{DAF84815-790D-41EB-9185-C97F847AFC5B}"/>
    <cellStyle name="20% - Accent1 5 2 2 2" xfId="7180" xr:uid="{2EFFFE18-ED84-466E-9B12-BCCEFA8B7020}"/>
    <cellStyle name="20% - Accent1 5 2 3" xfId="120" xr:uid="{B29769F5-C265-46E3-8F20-1D0678B2BAD6}"/>
    <cellStyle name="20% - Accent1 5 2 3 2" xfId="7181" xr:uid="{A6FAD248-7F2E-4DB2-AFE7-67D7E724C80F}"/>
    <cellStyle name="20% - Accent1 5 2 4" xfId="3603" xr:uid="{1E6CB2AA-49A4-4A1A-A204-BB07AD7F28B9}"/>
    <cellStyle name="20% - Accent1 5 2 5" xfId="7179" xr:uid="{ECA90BA1-AB93-48DF-9034-C2EA35397A00}"/>
    <cellStyle name="20% - Accent1 5 3" xfId="121" xr:uid="{63DE79BF-FB59-4196-9FB8-B2077EE6EB44}"/>
    <cellStyle name="20% - Accent1 5 3 2" xfId="3604" xr:uid="{7A0B2CDF-B39A-4867-84BE-2D43ECDCA4BA}"/>
    <cellStyle name="20% - Accent1 5 4" xfId="3605" xr:uid="{B87B2961-36F9-4AF6-8EC0-A29BF83ABFDF}"/>
    <cellStyle name="20% - Accent1 5 5" xfId="3606" xr:uid="{46D6157B-6E12-46F4-86A0-87AD6DC79C1B}"/>
    <cellStyle name="20% - Accent1 5 6" xfId="3607" xr:uid="{B751B815-D16A-45F2-8DA2-212D809E60B2}"/>
    <cellStyle name="20% - Accent1 5 7" xfId="3608" xr:uid="{A928A14B-6356-40A9-A7A3-245E2DA930A1}"/>
    <cellStyle name="20% - Accent1 5 8" xfId="3602" xr:uid="{BC105F73-9752-47E6-AE0F-80DFAA5A5782}"/>
    <cellStyle name="20% - Accent1 6" xfId="122" xr:uid="{4111B7E7-3B0E-4C77-8628-018BEFA1FA37}"/>
    <cellStyle name="20% - Accent1 6 2" xfId="123" xr:uid="{42A7B845-21EE-4617-AF85-33EDD2E87385}"/>
    <cellStyle name="20% - Accent1 6 2 2" xfId="124" xr:uid="{1B1F3777-55D9-4E67-A1D5-73D738C37888}"/>
    <cellStyle name="20% - Accent1 6 2 2 2" xfId="7183" xr:uid="{8AAE9B3E-FA5F-47B5-8669-8C419B2717F9}"/>
    <cellStyle name="20% - Accent1 6 2 3" xfId="125" xr:uid="{A66D0566-226B-4124-ACBE-2D531156BFDF}"/>
    <cellStyle name="20% - Accent1 6 2 3 2" xfId="7184" xr:uid="{569E39C8-25D4-46D4-B6B4-631B86E86B77}"/>
    <cellStyle name="20% - Accent1 6 2 4" xfId="3609" xr:uid="{0C4CE2E3-EFF7-4EB7-9CDC-1DE870518FD5}"/>
    <cellStyle name="20% - Accent1 6 2 5" xfId="7182" xr:uid="{F70C4DD5-9414-4B41-BF50-CE9769CE3FEA}"/>
    <cellStyle name="20% - Accent1 6 3" xfId="126" xr:uid="{033DBA0B-1F59-4BE1-844A-B1300ADE195F}"/>
    <cellStyle name="20% - Accent1 6 3 2" xfId="3610" xr:uid="{8E32E650-E48E-4D4F-9836-FA53505C64CF}"/>
    <cellStyle name="20% - Accent1 6 4" xfId="3611" xr:uid="{BB3FB53D-8B01-4296-BB33-1D23FD77B1D9}"/>
    <cellStyle name="20% - Accent1 6 5" xfId="3612" xr:uid="{FCF0105F-F829-4118-9C2C-B5A14FFBFC9D}"/>
    <cellStyle name="20% - Accent1 6 6" xfId="3613" xr:uid="{5FC01FE6-077C-4F15-992D-4CEFF5CFE584}"/>
    <cellStyle name="20% - Accent1 6 7" xfId="3614" xr:uid="{F088999D-35CF-4BD9-AB6B-10AFCDB3E614}"/>
    <cellStyle name="20% - Accent1 7" xfId="127" xr:uid="{DD6915C7-90E5-4E5D-8481-0731E4A7BF65}"/>
    <cellStyle name="20% - Accent1 7 2" xfId="128" xr:uid="{935FE7D2-CEC0-49B0-A801-E995C39125CE}"/>
    <cellStyle name="20% - Accent1 7 2 2" xfId="129" xr:uid="{4ED55E0B-4638-41AD-A221-247EC974332B}"/>
    <cellStyle name="20% - Accent1 7 2 2 2" xfId="7186" xr:uid="{E545ADDD-6F05-4A57-925E-88D83DC90C7C}"/>
    <cellStyle name="20% - Accent1 7 2 3" xfId="130" xr:uid="{7808F2BD-E045-49FD-B129-ADB7B797C3A9}"/>
    <cellStyle name="20% - Accent1 7 2 3 2" xfId="7187" xr:uid="{7D11CE31-FF9E-44B7-801B-4202402931AC}"/>
    <cellStyle name="20% - Accent1 7 2 4" xfId="3615" xr:uid="{DB80BEAC-F670-484E-837E-F49ADFE6C5BD}"/>
    <cellStyle name="20% - Accent1 7 2 5" xfId="7185" xr:uid="{F5522DFB-057C-48DC-A680-4AFD159FDB2B}"/>
    <cellStyle name="20% - Accent1 7 3" xfId="131" xr:uid="{18BD32F6-5DC2-4788-A44B-D9EB2D1F207A}"/>
    <cellStyle name="20% - Accent1 7 3 2" xfId="3616" xr:uid="{8C348AEB-D7E1-44B3-A329-F18B11352945}"/>
    <cellStyle name="20% - Accent1 7 4" xfId="3617" xr:uid="{3B752FC9-F110-43EF-AE86-7F2920BF5EBF}"/>
    <cellStyle name="20% - Accent1 7 5" xfId="3618" xr:uid="{D95E97D3-CC54-4365-AE78-EE0492CF0408}"/>
    <cellStyle name="20% - Accent1 7 6" xfId="3619" xr:uid="{2DD977BE-B208-418E-BA52-EAB1890F843E}"/>
    <cellStyle name="20% - Accent1 7 7" xfId="3620" xr:uid="{AC5B51F8-BEF3-480A-A702-DAD180D76317}"/>
    <cellStyle name="20% - Accent1 8" xfId="132" xr:uid="{C09276D0-5132-4EC0-9E2C-E5A5F00734AA}"/>
    <cellStyle name="20% - Accent1 8 2" xfId="133" xr:uid="{70BCA68B-5269-4DCC-BF56-61F48C16DB23}"/>
    <cellStyle name="20% - Accent1 8 2 2" xfId="134" xr:uid="{424C49BF-5133-476C-B93A-1861270C8EA5}"/>
    <cellStyle name="20% - Accent1 8 2 2 2" xfId="7189" xr:uid="{68E29958-F38D-4EFE-AE87-6953B3DDDF7C}"/>
    <cellStyle name="20% - Accent1 8 2 3" xfId="135" xr:uid="{F017DDBB-388A-4444-97B4-21ACB1FD1200}"/>
    <cellStyle name="20% - Accent1 8 2 3 2" xfId="7190" xr:uid="{A5DB423F-02D0-48BC-BE78-4C70C3CCCAD4}"/>
    <cellStyle name="20% - Accent1 8 2 4" xfId="3621" xr:uid="{1BA717D3-E723-4CA9-94A7-6D0BFC71C8DF}"/>
    <cellStyle name="20% - Accent1 8 2 5" xfId="7188" xr:uid="{997E27CE-184B-492F-9DBE-44259B4BF765}"/>
    <cellStyle name="20% - Accent1 8 3" xfId="136" xr:uid="{C32FFDA6-4AAA-4C2C-9C10-B23DF4582C2D}"/>
    <cellStyle name="20% - Accent1 8 3 2" xfId="3622" xr:uid="{3DEA6758-90B1-4DE1-A1E6-D6789EAB7C67}"/>
    <cellStyle name="20% - Accent1 8 4" xfId="3623" xr:uid="{155A0491-715C-494D-8DA7-65338049C259}"/>
    <cellStyle name="20% - Accent1 8 5" xfId="3624" xr:uid="{965B249F-D668-48E5-8497-7431202CFF11}"/>
    <cellStyle name="20% - Accent1 8 6" xfId="3625" xr:uid="{6DD0A8AA-8DA4-4E97-8F6E-93DB28140870}"/>
    <cellStyle name="20% - Accent1 8 7" xfId="3626" xr:uid="{5A29DC69-5987-46F1-BDEE-ED8781BD98F2}"/>
    <cellStyle name="20% - Accent1 9" xfId="137" xr:uid="{9856F44F-87DE-4BC3-A2BA-55A621F34214}"/>
    <cellStyle name="20% - Accent1 9 2" xfId="138" xr:uid="{70F08E54-324E-4F82-9E7C-EB1CD6BAD815}"/>
    <cellStyle name="20% - Accent1 9 2 2" xfId="139" xr:uid="{E706BE22-D586-4A92-BC1F-C03846788607}"/>
    <cellStyle name="20% - Accent1 9 2 2 2" xfId="7192" xr:uid="{39405D2D-3EF8-476D-8408-8A557F97B58B}"/>
    <cellStyle name="20% - Accent1 9 2 3" xfId="140" xr:uid="{AB928636-0BF6-41CD-9B42-2519EE8A7762}"/>
    <cellStyle name="20% - Accent1 9 2 3 2" xfId="7193" xr:uid="{DCC712A8-6505-40DE-B0C1-DC0AA82C78D3}"/>
    <cellStyle name="20% - Accent1 9 2 4" xfId="3627" xr:uid="{2CF8B3CF-08EB-48D7-8529-BAFA14838584}"/>
    <cellStyle name="20% - Accent1 9 2 5" xfId="7191" xr:uid="{63DC6349-C2C2-4242-AAB6-ABD5DC468064}"/>
    <cellStyle name="20% - Accent1 9 3" xfId="141" xr:uid="{53BEE1DA-579B-4385-AF4F-4FEED006845E}"/>
    <cellStyle name="20% - Accent1 9 3 2" xfId="3628" xr:uid="{8414E067-EA8D-4D9C-B33B-E685D63E1F48}"/>
    <cellStyle name="20% - Accent1 9 4" xfId="3629" xr:uid="{1BFF6FDD-16B7-4BF7-8E1B-DF8B3625510F}"/>
    <cellStyle name="20% - Accent1 9 5" xfId="3630" xr:uid="{5B173167-6E76-4777-8F89-1E14770038E1}"/>
    <cellStyle name="20% - Accent1 9 6" xfId="3631" xr:uid="{47E4B7BE-A86C-4D07-AC29-8C49945F99FE}"/>
    <cellStyle name="20% - Accent1 9 7" xfId="3632" xr:uid="{162901D9-D555-4004-8F52-B34520F80502}"/>
    <cellStyle name="20% - Accent2 10" xfId="142" xr:uid="{69500306-978D-4E47-ACE4-26AC36E7B392}"/>
    <cellStyle name="20% - Accent2 10 2" xfId="143" xr:uid="{DD78E202-2E1C-4FD7-926D-C56BD18CA337}"/>
    <cellStyle name="20% - Accent2 10 2 2" xfId="144" xr:uid="{D399FB93-25C0-4D42-B4D8-09324D3FAD0C}"/>
    <cellStyle name="20% - Accent2 10 2 2 2" xfId="7195" xr:uid="{4F0C2F6A-5DE5-4F76-8CCC-9543F623CE40}"/>
    <cellStyle name="20% - Accent2 10 2 3" xfId="145" xr:uid="{48367B58-2625-4818-AD49-0AF09BE9506B}"/>
    <cellStyle name="20% - Accent2 10 2 3 2" xfId="7196" xr:uid="{AE81A18B-BB68-4043-AB77-6881717FBDE2}"/>
    <cellStyle name="20% - Accent2 10 2 4" xfId="3633" xr:uid="{2D47F20E-BF2E-4452-81AC-75A87AD98899}"/>
    <cellStyle name="20% - Accent2 10 2 5" xfId="7194" xr:uid="{7E432D6D-3191-4ADA-AC66-F7B739FAD7DF}"/>
    <cellStyle name="20% - Accent2 10 3" xfId="146" xr:uid="{22CD8138-6525-404D-A892-D547FFE8E1F1}"/>
    <cellStyle name="20% - Accent2 10 3 2" xfId="3634" xr:uid="{D3605E13-A9D4-4344-9938-180ADA986434}"/>
    <cellStyle name="20% - Accent2 10 4" xfId="3635" xr:uid="{16FE1796-23EA-43C1-82FD-9EFE6061ACF2}"/>
    <cellStyle name="20% - Accent2 10 5" xfId="3636" xr:uid="{3B1E11E9-4D9A-4A77-841B-8D921FF37B09}"/>
    <cellStyle name="20% - Accent2 10 6" xfId="3637" xr:uid="{5C4F8DF1-50E7-449E-8B10-B2DF42FBE424}"/>
    <cellStyle name="20% - Accent2 10 7" xfId="3638" xr:uid="{BECC37FF-C2C3-4C48-81D4-231D62F83528}"/>
    <cellStyle name="20% - Accent2 11" xfId="147" xr:uid="{432D1962-BA14-4BAA-B681-7A7404E5AFF0}"/>
    <cellStyle name="20% - Accent2 11 2" xfId="148" xr:uid="{5A6E15A7-1314-4626-B234-007D5B328BBF}"/>
    <cellStyle name="20% - Accent2 11 2 2" xfId="149" xr:uid="{6A2C7589-F250-4B04-B726-10A3F1816532}"/>
    <cellStyle name="20% - Accent2 11 2 2 2" xfId="7198" xr:uid="{A88DE1E3-E04B-4696-A47C-98EF1B679855}"/>
    <cellStyle name="20% - Accent2 11 2 3" xfId="150" xr:uid="{C5C3562F-3EDB-485D-982D-E9B35C7BD79B}"/>
    <cellStyle name="20% - Accent2 11 2 3 2" xfId="7199" xr:uid="{1C5DF888-8A7E-4872-AAAF-D16F7BB4062D}"/>
    <cellStyle name="20% - Accent2 11 2 4" xfId="3639" xr:uid="{F52699F9-4F99-4142-B82F-0701E6C88A30}"/>
    <cellStyle name="20% - Accent2 11 2 5" xfId="7197" xr:uid="{89BCCE81-27BF-45E2-A6CE-A3D74EF9A1AC}"/>
    <cellStyle name="20% - Accent2 11 3" xfId="151" xr:uid="{1FD3FA9B-BE29-4FC4-AAFE-E731B48C1DBC}"/>
    <cellStyle name="20% - Accent2 11 3 2" xfId="3640" xr:uid="{9F9351D9-C35F-4228-87DE-0323DEC6834C}"/>
    <cellStyle name="20% - Accent2 11 4" xfId="3641" xr:uid="{CE5DA562-2F36-4677-B93B-C65F65F6FD2B}"/>
    <cellStyle name="20% - Accent2 11 5" xfId="3642" xr:uid="{C7AA0173-BA69-4E0A-8116-F7FA829A44F6}"/>
    <cellStyle name="20% - Accent2 11 6" xfId="3643" xr:uid="{D793630E-AAB6-423A-BEF6-519329E1515D}"/>
    <cellStyle name="20% - Accent2 11 7" xfId="3644" xr:uid="{3D63CD4D-9876-4E37-AE61-70A215611A1A}"/>
    <cellStyle name="20% - Accent2 12" xfId="152" xr:uid="{AFA071EF-9D56-4326-B60F-F8743962CA42}"/>
    <cellStyle name="20% - Accent2 12 2" xfId="153" xr:uid="{B31AEBF8-2D50-4403-B87A-E97DA506063B}"/>
    <cellStyle name="20% - Accent2 12 2 2" xfId="154" xr:uid="{CBB3AD48-F12F-46B7-A807-01FABFE5E941}"/>
    <cellStyle name="20% - Accent2 12 2 2 2" xfId="7201" xr:uid="{2A9C4A78-229E-4C64-BF57-245EB536527D}"/>
    <cellStyle name="20% - Accent2 12 2 3" xfId="155" xr:uid="{D9425352-88ED-4D86-9CC0-D038B79063E8}"/>
    <cellStyle name="20% - Accent2 12 2 3 2" xfId="7202" xr:uid="{20BD9CCD-5A12-436F-9584-51187D9B73BA}"/>
    <cellStyle name="20% - Accent2 12 2 4" xfId="3645" xr:uid="{578C0BE1-C25E-4B81-8A3F-E903D9FE63F5}"/>
    <cellStyle name="20% - Accent2 12 2 5" xfId="7200" xr:uid="{4F07C31D-6564-49A3-B766-E54CB1AE8104}"/>
    <cellStyle name="20% - Accent2 12 3" xfId="156" xr:uid="{E4B5B2A8-4062-4966-BE4E-887747658816}"/>
    <cellStyle name="20% - Accent2 12 3 2" xfId="3646" xr:uid="{A5CA8617-B585-4261-96AC-C38CB16056CA}"/>
    <cellStyle name="20% - Accent2 12 4" xfId="3647" xr:uid="{B05D083A-C0C8-4732-8643-1791F1EBF978}"/>
    <cellStyle name="20% - Accent2 12 5" xfId="3648" xr:uid="{DCC6A970-29DC-4E6D-8CD0-E22ADEC291B5}"/>
    <cellStyle name="20% - Accent2 12 6" xfId="3649" xr:uid="{4BDAFB5A-4075-4C8E-9AB3-ADF34FA2E528}"/>
    <cellStyle name="20% - Accent2 12 7" xfId="3650" xr:uid="{08E973D5-FAA7-43DE-A1EF-79EBA165ACF7}"/>
    <cellStyle name="20% - Accent2 13" xfId="157" xr:uid="{29F955B4-3C88-47DA-BF7B-59EEA2AC0B85}"/>
    <cellStyle name="20% - Accent2 13 2" xfId="158" xr:uid="{4A8106CD-881A-454A-815D-4AF366999227}"/>
    <cellStyle name="20% - Accent2 13 2 2" xfId="3651" xr:uid="{8C68C3CC-0F4A-462D-BE75-05C13C3CBFA3}"/>
    <cellStyle name="20% - Accent2 14" xfId="159" xr:uid="{BEA6CE2E-6BBE-49B2-A68B-FEAAC0FEA26E}"/>
    <cellStyle name="20% - Accent2 14 2" xfId="160" xr:uid="{58E7BD26-A7BB-443D-BC7C-D521606448FA}"/>
    <cellStyle name="20% - Accent2 14 2 2" xfId="3652" xr:uid="{3D17525C-B4D3-41C4-8A75-2C639D9D5FDE}"/>
    <cellStyle name="20% - Accent2 15" xfId="161" xr:uid="{2750DC2F-C3F2-43D3-857D-7AE2AE18096B}"/>
    <cellStyle name="20% - Accent2 15 2" xfId="162" xr:uid="{4914B028-3E7E-4F06-ABF3-454CB324EED4}"/>
    <cellStyle name="20% - Accent2 15 2 2" xfId="3653" xr:uid="{DBB28BB7-8234-4DAE-9B9D-B203A3DE62C0}"/>
    <cellStyle name="20% - Accent2 16" xfId="163" xr:uid="{42754381-0C8A-45F4-954C-619D4A87F482}"/>
    <cellStyle name="20% - Accent2 16 2" xfId="164" xr:uid="{2E8B2763-8E39-45B6-AE9D-D9C1BC2F0952}"/>
    <cellStyle name="20% - Accent2 16 2 2" xfId="3654" xr:uid="{A27329B7-2AEF-4754-8855-D70B57DFE8AB}"/>
    <cellStyle name="20% - Accent2 17" xfId="165" xr:uid="{21B01D57-EA7C-4351-8C2E-5942E5CB4FAA}"/>
    <cellStyle name="20% - Accent2 17 2" xfId="166" xr:uid="{C742152A-4663-4520-A6D6-C3E0414BE9A0}"/>
    <cellStyle name="20% - Accent2 17 2 2" xfId="3655" xr:uid="{19C9FD28-360B-49AF-878D-BAE4F1F3A171}"/>
    <cellStyle name="20% - Accent2 18" xfId="167" xr:uid="{C7BC62AD-1034-4EA2-84B0-CF4F471A2112}"/>
    <cellStyle name="20% - Accent2 18 2" xfId="168" xr:uid="{5732DB31-4004-4470-ABBD-734168BD1322}"/>
    <cellStyle name="20% - Accent2 18 2 2" xfId="3656" xr:uid="{FC821624-F022-426F-8032-A644FAA23483}"/>
    <cellStyle name="20% - Accent2 19" xfId="169" xr:uid="{9C9AE5E2-B2B4-446B-A8FE-8199B024420A}"/>
    <cellStyle name="20% - Accent2 19 2" xfId="170" xr:uid="{82D42DB7-E6B4-40CB-8520-346A7CE30318}"/>
    <cellStyle name="20% - Accent2 19 2 2" xfId="3657" xr:uid="{008F4403-AE5A-4927-93C9-6D92A6238AF0}"/>
    <cellStyle name="20% - Accent2 2" xfId="171" xr:uid="{7A504E88-147F-49A8-B1A7-237F779894B9}"/>
    <cellStyle name="20% - Accent2 2 2" xfId="172" xr:uid="{2CF6D3AC-75F0-42CC-851D-F9EB34BD6F61}"/>
    <cellStyle name="20% - Accent2 2 2 2" xfId="173" xr:uid="{07E51E9D-63C3-4658-875F-7DBF16215CE3}"/>
    <cellStyle name="20% - Accent2 2 2 2 2" xfId="174" xr:uid="{B8ED6B44-5D53-440A-9A56-BFFE974602DB}"/>
    <cellStyle name="20% - Accent2 2 2 2 2 2" xfId="7205" xr:uid="{B9A6C0C6-76BF-4985-B886-E2F27891B4D7}"/>
    <cellStyle name="20% - Accent2 2 2 2 3" xfId="175" xr:uid="{36F52551-B79D-4759-8716-6C03AF04246C}"/>
    <cellStyle name="20% - Accent2 2 2 2 3 2" xfId="7206" xr:uid="{4DBB3042-7B6E-4B6B-AF52-2FE6AC327467}"/>
    <cellStyle name="20% - Accent2 2 2 2 4" xfId="7204" xr:uid="{7A5D85C5-BA9D-4CD3-9895-7516E5D44451}"/>
    <cellStyle name="20% - Accent2 2 2 3" xfId="176" xr:uid="{56F48B7F-BD3D-4112-8CFD-3BD24F4018D2}"/>
    <cellStyle name="20% - Accent2 2 2 3 2" xfId="7207" xr:uid="{79C59C0C-97CB-4A45-A6DD-CF9EF52AE77A}"/>
    <cellStyle name="20% - Accent2 2 2 4" xfId="177" xr:uid="{53E9EE6B-A610-4EAA-A064-37B74385F454}"/>
    <cellStyle name="20% - Accent2 2 2 4 2" xfId="7208" xr:uid="{9FF9B261-F8EC-4EEF-AA3F-68D1C3C1D451}"/>
    <cellStyle name="20% - Accent2 2 2 5" xfId="3418" xr:uid="{C76A39EA-1F9C-4ABA-83B3-CCA2BAB3FF9D}"/>
    <cellStyle name="20% - Accent2 2 2 6" xfId="7203" xr:uid="{3E6BE1B0-F1C5-4DBB-932D-D1C8CFB556BE}"/>
    <cellStyle name="20% - Accent2 2 3" xfId="178" xr:uid="{33A26424-E5DF-4199-847B-715BF9537A1F}"/>
    <cellStyle name="20% - Accent2 2 3 2" xfId="3458" xr:uid="{70C4FF2D-2D38-4310-B0C7-B721DD819C43}"/>
    <cellStyle name="20% - Accent2 2 3 3" xfId="7762" xr:uid="{1620748D-65B7-4595-8AEC-EA9B819D51D4}"/>
    <cellStyle name="20% - Accent2 2 4" xfId="3658" xr:uid="{D42CF060-D88E-4678-8169-1B574FCE0E93}"/>
    <cellStyle name="20% - Accent2 2 5" xfId="3659" xr:uid="{0204B7A4-004B-4AA5-B115-7A65D06536D3}"/>
    <cellStyle name="20% - Accent2 2 6" xfId="3660" xr:uid="{D6D4FE73-EA07-45F1-A7D8-C060C7F973D5}"/>
    <cellStyle name="20% - Accent2 2 7" xfId="3661" xr:uid="{D4473053-550A-4C29-B3EB-5F2716B231D1}"/>
    <cellStyle name="20% - Accent2 2 8" xfId="3379" xr:uid="{3A443C2A-EB0C-43CF-B443-6D395F8C1A58}"/>
    <cellStyle name="20% - Accent2 2 9" xfId="7730" xr:uid="{0177D029-BDA0-4654-B377-EFB4B8BA8D6D}"/>
    <cellStyle name="20% - Accent2 20" xfId="179" xr:uid="{7137A5B9-2FBB-498B-B398-AD5527BBEB9C}"/>
    <cellStyle name="20% - Accent2 20 2" xfId="180" xr:uid="{AACB84D6-9DF7-48BA-8856-35EECC47CBA6}"/>
    <cellStyle name="20% - Accent2 20 2 2" xfId="3662" xr:uid="{335FDCA0-0810-4494-AA08-54DB18E19468}"/>
    <cellStyle name="20% - Accent2 21" xfId="181" xr:uid="{70B297A0-3558-4E37-ADDA-2A869262266B}"/>
    <cellStyle name="20% - Accent2 21 2" xfId="182" xr:uid="{55C7D35E-0812-4C33-B241-669A5850288E}"/>
    <cellStyle name="20% - Accent2 21 2 2" xfId="3663" xr:uid="{6FA5C64D-4DBF-4EBB-A303-DC11888A7421}"/>
    <cellStyle name="20% - Accent2 22" xfId="183" xr:uid="{D84B1779-5180-4D0F-91F4-2A2F37D6B98F}"/>
    <cellStyle name="20% - Accent2 22 2" xfId="184" xr:uid="{1083D6C2-896E-4BE1-9C4C-D6805D8F6CCA}"/>
    <cellStyle name="20% - Accent2 23" xfId="185" xr:uid="{BC9F0789-C368-484B-B3B5-2C9C15DB0931}"/>
    <cellStyle name="20% - Accent2 23 2" xfId="186" xr:uid="{62F240E4-6F0F-4304-9409-3E202AE3E2BB}"/>
    <cellStyle name="20% - Accent2 24" xfId="187" xr:uid="{225E07D1-883A-4606-9E1F-4F1717F53EC1}"/>
    <cellStyle name="20% - Accent2 24 2" xfId="188" xr:uid="{8681A88B-2578-4DF1-8816-93D855B869DF}"/>
    <cellStyle name="20% - Accent2 25" xfId="189" xr:uid="{E2192423-1ED7-462D-A6ED-8F475C0BC1FC}"/>
    <cellStyle name="20% - Accent2 26" xfId="190" xr:uid="{6410DD15-6B41-4F46-98B1-93E9B6C6C60A}"/>
    <cellStyle name="20% - Accent2 26 2" xfId="7209" xr:uid="{93FB224A-ABCC-404B-A46E-E896E501FD40}"/>
    <cellStyle name="20% - Accent2 27" xfId="7714" xr:uid="{2B78903A-7493-4229-8202-3F710EF31216}"/>
    <cellStyle name="20% - Accent2 3" xfId="191" xr:uid="{4B3941DF-660B-4B47-9AC3-A260508A8121}"/>
    <cellStyle name="20% - Accent2 3 2" xfId="192" xr:uid="{5E11F2D0-A522-4541-AAB6-26321FD45BF6}"/>
    <cellStyle name="20% - Accent2 3 2 2" xfId="193" xr:uid="{7B536D3D-48E5-4C46-ACEF-79ED94305FDE}"/>
    <cellStyle name="20% - Accent2 3 2 2 2" xfId="7211" xr:uid="{0906BC50-C4BA-4048-A98E-5CE3705400A9}"/>
    <cellStyle name="20% - Accent2 3 2 3" xfId="194" xr:uid="{09B2EFEE-1390-4078-8E4B-FD70AC4E298B}"/>
    <cellStyle name="20% - Accent2 3 2 3 2" xfId="7212" xr:uid="{8D087DCE-BEFD-48AD-9981-D7C7C5491145}"/>
    <cellStyle name="20% - Accent2 3 2 4" xfId="3664" xr:uid="{CE16CFA2-328F-4888-8BA2-76FC5DCFF076}"/>
    <cellStyle name="20% - Accent2 3 2 5" xfId="7210" xr:uid="{EB17A916-2330-442F-AD96-F35EA6BFBECB}"/>
    <cellStyle name="20% - Accent2 3 3" xfId="195" xr:uid="{1B507B3B-8C5B-4B8C-A3FD-A1B63BF122D9}"/>
    <cellStyle name="20% - Accent2 3 3 2" xfId="3665" xr:uid="{24BBFEC4-A847-440D-910E-5419765A876F}"/>
    <cellStyle name="20% - Accent2 3 4" xfId="3666" xr:uid="{8656E872-900A-4A93-8F5D-F02A66460BCC}"/>
    <cellStyle name="20% - Accent2 3 5" xfId="3667" xr:uid="{F038460A-284A-42F9-A693-6721EA4E40EC}"/>
    <cellStyle name="20% - Accent2 3 6" xfId="3668" xr:uid="{42FF1872-2A5E-451F-94C8-F9D89E1DA843}"/>
    <cellStyle name="20% - Accent2 3 7" xfId="3669" xr:uid="{ECA725AA-8FD3-4BA0-A939-8B68C10B219D}"/>
    <cellStyle name="20% - Accent2 3 8" xfId="3438" xr:uid="{22C127FC-B5A8-4DA9-B927-2D49CAE7F050}"/>
    <cellStyle name="20% - Accent2 3 9" xfId="7753" xr:uid="{7883CC5C-8171-4AB3-95B0-3FACF36D2960}"/>
    <cellStyle name="20% - Accent2 4" xfId="196" xr:uid="{EA5AB29C-CABA-4D41-BF7D-641F1BC3F785}"/>
    <cellStyle name="20% - Accent2 4 2" xfId="197" xr:uid="{5504F448-A200-486D-8D32-2DE895D3338F}"/>
    <cellStyle name="20% - Accent2 4 2 2" xfId="198" xr:uid="{8DCCA796-F13F-4479-A4D0-5B1373338D31}"/>
    <cellStyle name="20% - Accent2 4 2 2 2" xfId="7214" xr:uid="{459C5726-D9C9-413A-805D-A84032245052}"/>
    <cellStyle name="20% - Accent2 4 2 3" xfId="199" xr:uid="{8738D6D5-69FF-4448-B556-B6870A0E4D41}"/>
    <cellStyle name="20% - Accent2 4 2 3 2" xfId="7215" xr:uid="{642F553A-86C3-4ECB-AED9-6A245B1503D2}"/>
    <cellStyle name="20% - Accent2 4 2 4" xfId="3671" xr:uid="{CA083E7E-ADDA-43B1-AF8B-B35626443401}"/>
    <cellStyle name="20% - Accent2 4 2 5" xfId="7213" xr:uid="{F0C44708-6A08-459D-A670-97D4FE38A69E}"/>
    <cellStyle name="20% - Accent2 4 3" xfId="200" xr:uid="{173B9687-3828-4CAC-B3ED-86380C94B800}"/>
    <cellStyle name="20% - Accent2 4 3 2" xfId="3672" xr:uid="{8CFEA98B-627B-4326-BFF4-90477D7BAFB0}"/>
    <cellStyle name="20% - Accent2 4 4" xfId="3673" xr:uid="{6DB65AA0-2F3E-4D61-989B-6ADF1085B6F5}"/>
    <cellStyle name="20% - Accent2 4 5" xfId="3674" xr:uid="{EC49D131-925E-477D-9F58-B6DFCBBD5DBB}"/>
    <cellStyle name="20% - Accent2 4 6" xfId="3675" xr:uid="{6F3E5DFD-F5B0-4031-915B-7BC8D2C43C9F}"/>
    <cellStyle name="20% - Accent2 4 7" xfId="3676" xr:uid="{F6E9F8D9-7C25-43EE-8140-C96F5DBB14CD}"/>
    <cellStyle name="20% - Accent2 4 8" xfId="3670" xr:uid="{6826D02B-2A1D-4DC5-862F-2AFE3EC5BDF1}"/>
    <cellStyle name="20% - Accent2 5" xfId="201" xr:uid="{6891ADE5-BF35-433F-A251-FA400C68718C}"/>
    <cellStyle name="20% - Accent2 5 2" xfId="202" xr:uid="{B11571B3-EB40-4497-9A1F-BDF9476A83DB}"/>
    <cellStyle name="20% - Accent2 5 2 2" xfId="203" xr:uid="{F0237790-1D37-430C-A571-D7BCCDCC7598}"/>
    <cellStyle name="20% - Accent2 5 2 2 2" xfId="7217" xr:uid="{DCAA2C18-C0DC-49DF-AE8C-3B4A52F74AFA}"/>
    <cellStyle name="20% - Accent2 5 2 3" xfId="204" xr:uid="{272071DF-9885-472B-9673-3AE5FDC65144}"/>
    <cellStyle name="20% - Accent2 5 2 3 2" xfId="7218" xr:uid="{DA5F7285-17C2-4269-887D-00074054B569}"/>
    <cellStyle name="20% - Accent2 5 2 4" xfId="3678" xr:uid="{8B5E58AA-E4CF-49FF-9006-22A052C96846}"/>
    <cellStyle name="20% - Accent2 5 2 5" xfId="7216" xr:uid="{5D5BAC07-3AA0-4AA5-8919-31FEB01AEFB3}"/>
    <cellStyle name="20% - Accent2 5 3" xfId="205" xr:uid="{C463ADE2-DE8A-45DC-9ED1-C00576E77848}"/>
    <cellStyle name="20% - Accent2 5 3 2" xfId="3679" xr:uid="{26CF0DFE-1AFA-41BC-AD8C-E51C65D2A4A6}"/>
    <cellStyle name="20% - Accent2 5 4" xfId="3680" xr:uid="{16476A29-0C87-4F47-A8E6-14662DA45909}"/>
    <cellStyle name="20% - Accent2 5 5" xfId="3681" xr:uid="{2AC9524E-7677-43B9-8787-5A61D3F3BF22}"/>
    <cellStyle name="20% - Accent2 5 6" xfId="3682" xr:uid="{A940B72D-7DA1-43E4-B733-C586A8BD7324}"/>
    <cellStyle name="20% - Accent2 5 7" xfId="3683" xr:uid="{97BB8A05-7DA2-412F-9595-4F8FD0C20873}"/>
    <cellStyle name="20% - Accent2 5 8" xfId="3677" xr:uid="{93FCD0CF-7972-4092-9F24-ED42332E527D}"/>
    <cellStyle name="20% - Accent2 6" xfId="206" xr:uid="{26AD85AC-875A-4F05-BD14-6823201F5873}"/>
    <cellStyle name="20% - Accent2 6 2" xfId="207" xr:uid="{CFB131A8-D5F8-4BA6-BDD6-8AB3572B5173}"/>
    <cellStyle name="20% - Accent2 6 2 2" xfId="208" xr:uid="{FCA956C2-E2C5-49C2-B1EC-0F84ECCA4283}"/>
    <cellStyle name="20% - Accent2 6 2 2 2" xfId="7220" xr:uid="{7AB944B0-7576-45F3-AC57-A810B4E09A34}"/>
    <cellStyle name="20% - Accent2 6 2 3" xfId="209" xr:uid="{8F537CD9-A0B4-4CEB-9D9C-7E01FA185781}"/>
    <cellStyle name="20% - Accent2 6 2 3 2" xfId="7221" xr:uid="{B3E32394-0462-4014-9C23-37606D952779}"/>
    <cellStyle name="20% - Accent2 6 2 4" xfId="3684" xr:uid="{0DBB69F6-7B6F-4EFB-94CD-053F29804B56}"/>
    <cellStyle name="20% - Accent2 6 2 5" xfId="7219" xr:uid="{AF295A49-1384-46BF-9940-8EA1E0314D49}"/>
    <cellStyle name="20% - Accent2 6 3" xfId="210" xr:uid="{0E1C0463-3AB3-4D66-93F1-B6A263DD4030}"/>
    <cellStyle name="20% - Accent2 6 3 2" xfId="3685" xr:uid="{89F51E58-3956-4F1E-87A3-216EE1AFC1B3}"/>
    <cellStyle name="20% - Accent2 6 4" xfId="3686" xr:uid="{398A5B4E-6358-49E8-BA24-1D7E71A8D1BD}"/>
    <cellStyle name="20% - Accent2 6 5" xfId="3687" xr:uid="{730ADE3B-98DA-49D4-9F34-FEA497E2F000}"/>
    <cellStyle name="20% - Accent2 6 6" xfId="3688" xr:uid="{E16CFD6C-1D86-4404-AE0F-660D567301CA}"/>
    <cellStyle name="20% - Accent2 6 7" xfId="3689" xr:uid="{E4534B2B-99C2-43E1-A74E-20DC314A70DF}"/>
    <cellStyle name="20% - Accent2 7" xfId="211" xr:uid="{1D023DD7-C9BC-4481-B2A2-0957121814A3}"/>
    <cellStyle name="20% - Accent2 7 2" xfId="212" xr:uid="{BD5DC724-66B6-4590-9EE6-D310DDA2414F}"/>
    <cellStyle name="20% - Accent2 7 2 2" xfId="213" xr:uid="{7CD2023C-D6F7-4C12-AE9C-60E87DF2E736}"/>
    <cellStyle name="20% - Accent2 7 2 2 2" xfId="7223" xr:uid="{487CA0D0-8E18-48FC-9802-1456606D198A}"/>
    <cellStyle name="20% - Accent2 7 2 3" xfId="214" xr:uid="{D87F727A-42DE-478A-850C-3940BDBC9988}"/>
    <cellStyle name="20% - Accent2 7 2 3 2" xfId="7224" xr:uid="{BCFF3F0B-0666-4AF1-907E-CE3BC28080D1}"/>
    <cellStyle name="20% - Accent2 7 2 4" xfId="3690" xr:uid="{11E53EF7-2497-4A5F-949E-7FF642984558}"/>
    <cellStyle name="20% - Accent2 7 2 5" xfId="7222" xr:uid="{A424A014-37EC-42E0-B6E1-7D11DD9482BF}"/>
    <cellStyle name="20% - Accent2 7 3" xfId="215" xr:uid="{C57FADE4-A4B1-43A8-AD63-76D6D59C7F04}"/>
    <cellStyle name="20% - Accent2 7 3 2" xfId="3691" xr:uid="{74CF4A90-86D7-483E-91BF-DB92D5FB7C58}"/>
    <cellStyle name="20% - Accent2 7 4" xfId="3692" xr:uid="{0DB6D1F9-38BD-4F08-B892-7A29ABEB7011}"/>
    <cellStyle name="20% - Accent2 7 5" xfId="3693" xr:uid="{97EAD606-C5C9-4AE0-9B08-AA86CA05C162}"/>
    <cellStyle name="20% - Accent2 7 6" xfId="3694" xr:uid="{C6E9B863-1860-49F9-98F2-C4C7E570476B}"/>
    <cellStyle name="20% - Accent2 7 7" xfId="3695" xr:uid="{7EAEED0C-8256-4F6C-AB71-48B1A8787EE5}"/>
    <cellStyle name="20% - Accent2 8" xfId="216" xr:uid="{49D44A5B-0106-4FC0-A0B4-D26935CF4EC4}"/>
    <cellStyle name="20% - Accent2 8 2" xfId="217" xr:uid="{0AA64FFE-C61B-423D-9DE8-12490EBF9C66}"/>
    <cellStyle name="20% - Accent2 8 2 2" xfId="218" xr:uid="{D892091B-1B5D-4CFC-8A3C-F78D5F1965CF}"/>
    <cellStyle name="20% - Accent2 8 2 2 2" xfId="7226" xr:uid="{0648F2A9-B25F-44CD-BE1C-76B744EF366C}"/>
    <cellStyle name="20% - Accent2 8 2 3" xfId="219" xr:uid="{D44C2688-D370-4E5F-9E92-54546EED9B9B}"/>
    <cellStyle name="20% - Accent2 8 2 3 2" xfId="7227" xr:uid="{DA2C6741-7997-4F72-BDAB-298AF60BC754}"/>
    <cellStyle name="20% - Accent2 8 2 4" xfId="3696" xr:uid="{D4718B2A-8861-42B5-B620-F208E01F220C}"/>
    <cellStyle name="20% - Accent2 8 2 5" xfId="7225" xr:uid="{0E49CA49-46CA-4E14-A48E-32CC55E6E5B5}"/>
    <cellStyle name="20% - Accent2 8 3" xfId="220" xr:uid="{A06B9353-10DD-4250-920B-959C0C8774C0}"/>
    <cellStyle name="20% - Accent2 8 3 2" xfId="3697" xr:uid="{FD1B8C37-F6E8-400A-9F45-99F309F332F7}"/>
    <cellStyle name="20% - Accent2 8 4" xfId="3698" xr:uid="{102CA504-3914-48AB-9B66-AEA4BCA8435D}"/>
    <cellStyle name="20% - Accent2 8 5" xfId="3699" xr:uid="{724B059C-3873-4081-95D8-46790E0AC7EE}"/>
    <cellStyle name="20% - Accent2 8 6" xfId="3700" xr:uid="{5F167942-2936-4483-84A2-4A468B8ED0E8}"/>
    <cellStyle name="20% - Accent2 8 7" xfId="3701" xr:uid="{FEB2BC14-779D-40BF-9970-7A286A46C0D7}"/>
    <cellStyle name="20% - Accent2 9" xfId="221" xr:uid="{E01529B5-3EB2-4ABC-ACF6-AD72765970EF}"/>
    <cellStyle name="20% - Accent2 9 2" xfId="222" xr:uid="{3B5A80EC-D592-48C7-8FC7-744AD2151CCB}"/>
    <cellStyle name="20% - Accent2 9 2 2" xfId="223" xr:uid="{CD1E411C-ACBD-4768-AC6B-0D77293A1373}"/>
    <cellStyle name="20% - Accent2 9 2 2 2" xfId="7229" xr:uid="{D4C93C89-A00C-4F53-8545-68062153FEB6}"/>
    <cellStyle name="20% - Accent2 9 2 3" xfId="224" xr:uid="{035BF1C8-CF68-4467-AA4A-301BFBE7E245}"/>
    <cellStyle name="20% - Accent2 9 2 3 2" xfId="7230" xr:uid="{FF8A27DC-20E8-455E-9155-F29B3055F2CF}"/>
    <cellStyle name="20% - Accent2 9 2 4" xfId="3702" xr:uid="{3A60B655-7A88-46BD-954F-9F0867F87446}"/>
    <cellStyle name="20% - Accent2 9 2 5" xfId="7228" xr:uid="{532C47C5-1926-4CE2-A316-D0928F1B5C73}"/>
    <cellStyle name="20% - Accent2 9 3" xfId="225" xr:uid="{68DF2E81-C237-4EA5-9626-C393327F83FD}"/>
    <cellStyle name="20% - Accent2 9 3 2" xfId="3703" xr:uid="{95C7A2B5-5264-4D7D-BE47-50D6BDC1F23C}"/>
    <cellStyle name="20% - Accent2 9 4" xfId="3704" xr:uid="{68F1BB53-5EC9-4A81-8DEF-25B8F965DA6B}"/>
    <cellStyle name="20% - Accent2 9 5" xfId="3705" xr:uid="{187D32DF-79F0-4336-A947-4775D613E04F}"/>
    <cellStyle name="20% - Accent2 9 6" xfId="3706" xr:uid="{80533D0F-DFED-44DB-9936-FBAEB1949C1E}"/>
    <cellStyle name="20% - Accent2 9 7" xfId="3707" xr:uid="{8D20E782-2852-4A31-A541-35FB55273212}"/>
    <cellStyle name="20% - Accent3 10" xfId="226" xr:uid="{30A9B431-6D0E-46BD-9C98-059390070E15}"/>
    <cellStyle name="20% - Accent3 10 2" xfId="227" xr:uid="{FAD74190-ECCC-4AF1-B417-279AF02D5AFC}"/>
    <cellStyle name="20% - Accent3 10 2 2" xfId="228" xr:uid="{568289DD-8D00-4A71-B14A-6D681CBB1FD0}"/>
    <cellStyle name="20% - Accent3 10 2 2 2" xfId="7232" xr:uid="{87F649E2-16AA-41A6-B0B9-584C17CE3BD2}"/>
    <cellStyle name="20% - Accent3 10 2 3" xfId="229" xr:uid="{4FE29AB0-5283-4DD6-BE38-330387B33F0D}"/>
    <cellStyle name="20% - Accent3 10 2 3 2" xfId="7233" xr:uid="{7A374EBF-54E4-440A-BE03-5A8957EBC30D}"/>
    <cellStyle name="20% - Accent3 10 2 4" xfId="3708" xr:uid="{8BAF6BCD-0F29-4D62-8219-FC67EACEC521}"/>
    <cellStyle name="20% - Accent3 10 2 5" xfId="7231" xr:uid="{60948FA1-3F07-424D-9E03-5D8BF60F8776}"/>
    <cellStyle name="20% - Accent3 10 3" xfId="230" xr:uid="{DECF2E47-85B3-4B90-9768-BA5290CB4B43}"/>
    <cellStyle name="20% - Accent3 10 4" xfId="3709" xr:uid="{EF879553-AC68-41FC-8A5E-A9DC3DF565A4}"/>
    <cellStyle name="20% - Accent3 10 5" xfId="3710" xr:uid="{65856E8F-0E6C-4873-815A-FAD74476B3E5}"/>
    <cellStyle name="20% - Accent3 10 6" xfId="3711" xr:uid="{2B64CC4C-DE7C-4B0D-BF7E-C30003B60C42}"/>
    <cellStyle name="20% - Accent3 10 7" xfId="3712" xr:uid="{55936808-553F-4A25-ACA2-B0D1B8533368}"/>
    <cellStyle name="20% - Accent3 11" xfId="231" xr:uid="{E2138C2C-C699-48DE-9C7C-9DE9C5E6F199}"/>
    <cellStyle name="20% - Accent3 11 2" xfId="232" xr:uid="{E7B3B3E5-0951-4D6E-9310-91E9F749B89A}"/>
    <cellStyle name="20% - Accent3 11 2 2" xfId="233" xr:uid="{D9AAC105-1398-4A26-935B-8651B9CF633D}"/>
    <cellStyle name="20% - Accent3 11 2 2 2" xfId="7235" xr:uid="{50E842AF-9431-4480-A7A9-06BACA751564}"/>
    <cellStyle name="20% - Accent3 11 2 3" xfId="234" xr:uid="{1D110DEB-6B91-414F-BDDC-7AD44EE3CC8F}"/>
    <cellStyle name="20% - Accent3 11 2 3 2" xfId="7236" xr:uid="{7CE38F53-8D0B-4D88-817A-3E365765D28D}"/>
    <cellStyle name="20% - Accent3 11 2 4" xfId="3713" xr:uid="{E8437D76-26E7-43B0-8519-AF2E3BFFFE03}"/>
    <cellStyle name="20% - Accent3 11 2 5" xfId="7234" xr:uid="{A7997D70-C04B-4807-8FB4-A66CA4918ECB}"/>
    <cellStyle name="20% - Accent3 11 3" xfId="235" xr:uid="{C99AC38F-3803-4E2A-B111-C006133D83C1}"/>
    <cellStyle name="20% - Accent3 11 4" xfId="3714" xr:uid="{6165CEEC-A177-404D-9D50-14E9B121B6FF}"/>
    <cellStyle name="20% - Accent3 11 5" xfId="3715" xr:uid="{DD44AD6F-5FBF-4B40-88F2-5F2D2A061D46}"/>
    <cellStyle name="20% - Accent3 11 6" xfId="3716" xr:uid="{00CBD79A-3B6D-4848-974F-438EBE1AB5E5}"/>
    <cellStyle name="20% - Accent3 11 7" xfId="3717" xr:uid="{1B3CD312-8BCF-4913-929C-DC4F5AF0CFA7}"/>
    <cellStyle name="20% - Accent3 12" xfId="236" xr:uid="{E83141F9-3689-4460-9F95-EF5799B39997}"/>
    <cellStyle name="20% - Accent3 12 2" xfId="237" xr:uid="{46CECCD2-D9AF-4D1C-ADD5-098D9214768E}"/>
    <cellStyle name="20% - Accent3 12 2 2" xfId="238" xr:uid="{915E5494-3942-4D3C-81D2-8B008AEC77AF}"/>
    <cellStyle name="20% - Accent3 12 2 2 2" xfId="7238" xr:uid="{2F0C78DF-DD06-4E7B-8A30-B8F6E3B706D8}"/>
    <cellStyle name="20% - Accent3 12 2 3" xfId="239" xr:uid="{8903BA72-71B7-4434-A881-510BD28DBF3A}"/>
    <cellStyle name="20% - Accent3 12 2 3 2" xfId="7239" xr:uid="{77FC327C-1157-4060-AC85-E51294583EE9}"/>
    <cellStyle name="20% - Accent3 12 2 4" xfId="3718" xr:uid="{8CC6ECD9-E290-4FF8-B047-727CAD823C9F}"/>
    <cellStyle name="20% - Accent3 12 2 5" xfId="7237" xr:uid="{ABD430C5-B8B6-4994-A464-5741AB33D622}"/>
    <cellStyle name="20% - Accent3 12 3" xfId="240" xr:uid="{3FE74232-7C08-417A-954A-89DA1A2F2B95}"/>
    <cellStyle name="20% - Accent3 12 4" xfId="3719" xr:uid="{BD12DDFC-9084-4338-99CD-9AF978CC8A47}"/>
    <cellStyle name="20% - Accent3 12 5" xfId="3720" xr:uid="{1FF95CFD-F86A-473F-8EEE-D53890C37DF0}"/>
    <cellStyle name="20% - Accent3 12 6" xfId="3721" xr:uid="{FF0E64BE-7A93-4EED-8A2C-468DD36BD1C0}"/>
    <cellStyle name="20% - Accent3 12 7" xfId="3722" xr:uid="{3E1E5E5E-F6E7-4C9F-9B06-E52C7841CF57}"/>
    <cellStyle name="20% - Accent3 13" xfId="241" xr:uid="{9CE8437C-F0B6-45A0-A3AA-D654FB2C0710}"/>
    <cellStyle name="20% - Accent3 13 2" xfId="242" xr:uid="{A5E41D5F-2B06-4CA9-BBF5-C130DC79B28E}"/>
    <cellStyle name="20% - Accent3 14" xfId="243" xr:uid="{79926F97-09DC-40F9-969C-2F86794E7B5A}"/>
    <cellStyle name="20% - Accent3 14 2" xfId="244" xr:uid="{465ECBC2-33B3-4E4B-94CF-17EE21A2960A}"/>
    <cellStyle name="20% - Accent3 15" xfId="245" xr:uid="{09C5ECB9-7BAC-4645-9602-4A0F69FFD8AB}"/>
    <cellStyle name="20% - Accent3 15 2" xfId="246" xr:uid="{6F53F70E-50AE-48C6-97C2-00FC858B5067}"/>
    <cellStyle name="20% - Accent3 16" xfId="247" xr:uid="{6507E225-DAD4-41D3-9E2E-25A6BC536694}"/>
    <cellStyle name="20% - Accent3 16 2" xfId="248" xr:uid="{9EB6A520-FA80-4CBA-8A92-162122D22BA3}"/>
    <cellStyle name="20% - Accent3 17" xfId="249" xr:uid="{F18893E9-C993-4468-984C-9C81B1F78342}"/>
    <cellStyle name="20% - Accent3 17 2" xfId="250" xr:uid="{D79D30DA-985F-46BB-968E-134AE83CB60C}"/>
    <cellStyle name="20% - Accent3 18" xfId="251" xr:uid="{4C027048-5064-4B55-9502-9889E35EF681}"/>
    <cellStyle name="20% - Accent3 18 2" xfId="252" xr:uid="{E7838381-AFEB-46F2-B3A0-83774C81BAFF}"/>
    <cellStyle name="20% - Accent3 19" xfId="253" xr:uid="{9E8C96C8-76EA-4405-95E0-97B857A59267}"/>
    <cellStyle name="20% - Accent3 19 2" xfId="254" xr:uid="{CB2C48CA-345B-44AE-9549-F1C6B1C81DBC}"/>
    <cellStyle name="20% - Accent3 2" xfId="255" xr:uid="{431523CB-D5B7-4D69-9C3B-EB6E441C6FCA}"/>
    <cellStyle name="20% - Accent3 2 2" xfId="256" xr:uid="{EF2F9BA9-C089-47B2-931B-8E9C2843A763}"/>
    <cellStyle name="20% - Accent3 2 2 2" xfId="257" xr:uid="{C6E7EB00-1CA3-4185-827F-D2A81F326AA7}"/>
    <cellStyle name="20% - Accent3 2 2 2 2" xfId="258" xr:uid="{E3F487EE-2146-4233-AC15-C940EC94ED34}"/>
    <cellStyle name="20% - Accent3 2 2 2 2 2" xfId="7242" xr:uid="{6300948A-0B65-48CB-BBAD-CF61F4BDD312}"/>
    <cellStyle name="20% - Accent3 2 2 2 3" xfId="259" xr:uid="{4EFE2954-ED34-4500-B294-390CE255F95F}"/>
    <cellStyle name="20% - Accent3 2 2 2 3 2" xfId="7243" xr:uid="{87E68AF9-1911-45FB-AD84-A3D6EFDCF9DA}"/>
    <cellStyle name="20% - Accent3 2 2 2 4" xfId="7241" xr:uid="{0DD2CC26-76C4-4B27-8B80-4DB65CE5C58F}"/>
    <cellStyle name="20% - Accent3 2 2 3" xfId="260" xr:uid="{685E34ED-8FB6-4E9D-9781-BFF8BEB8ACF1}"/>
    <cellStyle name="20% - Accent3 2 2 3 2" xfId="7244" xr:uid="{8339BACD-5F94-4977-B4F5-157D28AFA30F}"/>
    <cellStyle name="20% - Accent3 2 2 4" xfId="261" xr:uid="{A324CFD2-B692-4D47-A6ED-CC293D1B825E}"/>
    <cellStyle name="20% - Accent3 2 2 4 2" xfId="7245" xr:uid="{41FD4472-58C9-4E67-A296-05799D254695}"/>
    <cellStyle name="20% - Accent3 2 2 5" xfId="3415" xr:uid="{7661C6B5-ECC5-4E9E-9F5F-2D0D0717F334}"/>
    <cellStyle name="20% - Accent3 2 2 6" xfId="7240" xr:uid="{8E42270F-3B64-4955-B2B1-585EAC733193}"/>
    <cellStyle name="20% - Accent3 2 3" xfId="262" xr:uid="{868BDE76-C805-4F67-A452-9177E1203D5C}"/>
    <cellStyle name="20% - Accent3 2 3 2" xfId="3460" xr:uid="{87AD8019-8C15-4195-A65E-86128FD9E739}"/>
    <cellStyle name="20% - Accent3 2 3 3" xfId="7764" xr:uid="{43A36161-E1D3-4AC2-9F40-AEA22DD7A872}"/>
    <cellStyle name="20% - Accent3 2 4" xfId="3723" xr:uid="{A6113947-B582-4512-AC51-576FE7F3790B}"/>
    <cellStyle name="20% - Accent3 2 5" xfId="3724" xr:uid="{6D3A4A86-3606-4F5E-98DB-4536FFC107AE}"/>
    <cellStyle name="20% - Accent3 2 6" xfId="3725" xr:uid="{D1133007-36DC-41C7-B72C-178EE6E1F62A}"/>
    <cellStyle name="20% - Accent3 2 7" xfId="3726" xr:uid="{D2FF0E94-C262-4676-BB00-E681E9FB34BF}"/>
    <cellStyle name="20% - Accent3 2 8" xfId="3381" xr:uid="{C22989A9-C32A-4F45-B1FF-33CF0EFF6490}"/>
    <cellStyle name="20% - Accent3 2 9" xfId="7732" xr:uid="{58B7D696-7BCA-4983-ABC1-856B706BAB93}"/>
    <cellStyle name="20% - Accent3 20" xfId="263" xr:uid="{184C5837-0FB7-470D-9080-AF770764A83E}"/>
    <cellStyle name="20% - Accent3 20 2" xfId="264" xr:uid="{DE912E9A-A7A7-4B71-851F-A687B5E43696}"/>
    <cellStyle name="20% - Accent3 21" xfId="265" xr:uid="{F2DCDAD5-6122-473C-A525-27F43BFB97A0}"/>
    <cellStyle name="20% - Accent3 21 2" xfId="266" xr:uid="{AE178DD9-262A-4B8B-A276-2F5A1EF9B537}"/>
    <cellStyle name="20% - Accent3 22" xfId="267" xr:uid="{1F27A0FE-CA45-4C14-ADAC-62C72B7CC89D}"/>
    <cellStyle name="20% - Accent3 22 2" xfId="268" xr:uid="{7EC79998-D9FA-45BB-B196-FA61A92DC5E7}"/>
    <cellStyle name="20% - Accent3 23" xfId="269" xr:uid="{24300686-5B6B-4984-A176-B7451743C836}"/>
    <cellStyle name="20% - Accent3 23 2" xfId="270" xr:uid="{D5BB2F4C-4411-4BF4-8D7C-6FD410E9D8E1}"/>
    <cellStyle name="20% - Accent3 24" xfId="271" xr:uid="{29A5B8B1-410D-46B8-9D38-E2E1A43831F3}"/>
    <cellStyle name="20% - Accent3 24 2" xfId="272" xr:uid="{4347DCA9-02CD-4C86-9B22-AFB8D217585D}"/>
    <cellStyle name="20% - Accent3 25" xfId="273" xr:uid="{1A476459-52BA-47C1-B035-42C9EC6E3A20}"/>
    <cellStyle name="20% - Accent3 26" xfId="274" xr:uid="{C1D1DD71-D94C-4168-AC1E-EFA1F8728C7F}"/>
    <cellStyle name="20% - Accent3 26 2" xfId="7246" xr:uid="{699B0298-D756-4422-BAF2-D3A339451447}"/>
    <cellStyle name="20% - Accent3 27" xfId="7716" xr:uid="{77E41AE4-B17E-457B-8360-8F689E0A49A6}"/>
    <cellStyle name="20% - Accent3 3" xfId="275" xr:uid="{7ADDF62E-4C92-409B-B8BB-281CF7F9B49F}"/>
    <cellStyle name="20% - Accent3 3 2" xfId="276" xr:uid="{F72F7385-91D1-40FE-9502-F33C2C9072A9}"/>
    <cellStyle name="20% - Accent3 3 2 2" xfId="277" xr:uid="{5839AF05-1863-4373-A9AA-EA4DD3A4A5B7}"/>
    <cellStyle name="20% - Accent3 3 2 2 2" xfId="7248" xr:uid="{C4A5C15E-D294-4FA4-8CAD-D7AF3A929DA3}"/>
    <cellStyle name="20% - Accent3 3 2 3" xfId="278" xr:uid="{3841B542-634D-4851-BA33-8FE80A662E71}"/>
    <cellStyle name="20% - Accent3 3 2 3 2" xfId="7249" xr:uid="{54740AAE-3B55-4997-B724-12B2F863EF80}"/>
    <cellStyle name="20% - Accent3 3 2 4" xfId="3727" xr:uid="{CF611531-8158-4B89-A97A-C4EC69DD668C}"/>
    <cellStyle name="20% - Accent3 3 2 5" xfId="7247" xr:uid="{80111F2D-09CE-4A82-A334-19A69D0EFAFF}"/>
    <cellStyle name="20% - Accent3 3 3" xfId="279" xr:uid="{19AB6025-9520-46A0-81D6-195A50C1D178}"/>
    <cellStyle name="20% - Accent3 3 4" xfId="3728" xr:uid="{B20FC77A-5FEE-464D-B246-0870784F80EE}"/>
    <cellStyle name="20% - Accent3 3 5" xfId="3729" xr:uid="{51A66797-430E-42E6-96FF-A0368061AE40}"/>
    <cellStyle name="20% - Accent3 3 6" xfId="3730" xr:uid="{171390C2-3465-4531-9B75-176AE90BC913}"/>
    <cellStyle name="20% - Accent3 3 7" xfId="3731" xr:uid="{65ACC354-5D7C-4F5B-BAE0-527922101A50}"/>
    <cellStyle name="20% - Accent3 3 8" xfId="3446" xr:uid="{8A748277-FD2A-4A6F-8AFA-41E26DFEC734}"/>
    <cellStyle name="20% - Accent3 3 9" xfId="7754" xr:uid="{502493CC-5465-4AF5-862F-57B49283B130}"/>
    <cellStyle name="20% - Accent3 4" xfId="280" xr:uid="{7DD8AEA4-D179-4A2B-B695-1BC7D5A5BC4E}"/>
    <cellStyle name="20% - Accent3 4 2" xfId="281" xr:uid="{4E263F05-9837-464B-A721-EC7823FDE404}"/>
    <cellStyle name="20% - Accent3 4 2 2" xfId="282" xr:uid="{D4F22904-2792-4372-B760-D374949BB44D}"/>
    <cellStyle name="20% - Accent3 4 2 2 2" xfId="7251" xr:uid="{40BA7233-91CD-4D59-94C0-185E4D4876F2}"/>
    <cellStyle name="20% - Accent3 4 2 3" xfId="283" xr:uid="{1B61D06B-5B90-4F36-8435-778DE397F61C}"/>
    <cellStyle name="20% - Accent3 4 2 3 2" xfId="7252" xr:uid="{03EF3AF4-BBE7-40D5-ADB0-4AA1A7DEC9BA}"/>
    <cellStyle name="20% - Accent3 4 2 4" xfId="3732" xr:uid="{DF658971-9749-4DBA-9458-AFCE224B4C21}"/>
    <cellStyle name="20% - Accent3 4 2 5" xfId="7250" xr:uid="{D3B9DF11-B233-4DEC-BB51-9FD08C476B36}"/>
    <cellStyle name="20% - Accent3 4 3" xfId="284" xr:uid="{01385B91-62E1-4B00-9F37-FD297AD5C921}"/>
    <cellStyle name="20% - Accent3 4 4" xfId="3733" xr:uid="{D3EE5D7B-FD8F-409B-A7A9-547A982908D4}"/>
    <cellStyle name="20% - Accent3 4 5" xfId="3734" xr:uid="{93B338AA-C4B2-42E3-AE23-DD9AD8D5DADC}"/>
    <cellStyle name="20% - Accent3 4 6" xfId="3735" xr:uid="{28C3C10F-C53B-4BA7-975D-A8C9898B1178}"/>
    <cellStyle name="20% - Accent3 4 7" xfId="3736" xr:uid="{5BEF1B97-9A52-4AE8-B88D-69E7568D48E8}"/>
    <cellStyle name="20% - Accent3 5" xfId="285" xr:uid="{30CBCDC6-8317-4D60-9619-4F46ED03F100}"/>
    <cellStyle name="20% - Accent3 5 2" xfId="286" xr:uid="{AC489D26-79A2-4347-9569-A57943B5ED50}"/>
    <cellStyle name="20% - Accent3 5 2 2" xfId="287" xr:uid="{80AA9A6D-4333-41C6-896C-0D78D5E8F7ED}"/>
    <cellStyle name="20% - Accent3 5 2 2 2" xfId="7254" xr:uid="{E20E80A1-344D-47E7-BEAE-2F9AAFC161E0}"/>
    <cellStyle name="20% - Accent3 5 2 3" xfId="288" xr:uid="{FC193DEE-C3AF-4416-A39D-700559DEA972}"/>
    <cellStyle name="20% - Accent3 5 2 3 2" xfId="7255" xr:uid="{733C48C2-1B75-4830-87D4-DA620FC6A643}"/>
    <cellStyle name="20% - Accent3 5 2 4" xfId="3737" xr:uid="{77A1E3B0-DED0-4A3C-8370-B7D59CA3F0C4}"/>
    <cellStyle name="20% - Accent3 5 2 5" xfId="7253" xr:uid="{B9FFC9DA-1412-450E-863A-DCDD2542C8CF}"/>
    <cellStyle name="20% - Accent3 5 3" xfId="289" xr:uid="{A16A1D4C-2C29-4F98-B53C-7865FD0A2A19}"/>
    <cellStyle name="20% - Accent3 5 4" xfId="3738" xr:uid="{318416C7-FE1A-47BC-A863-C3BB1E0A8508}"/>
    <cellStyle name="20% - Accent3 5 5" xfId="3739" xr:uid="{54670AE1-30EE-4F87-8CFD-D55BC373F40F}"/>
    <cellStyle name="20% - Accent3 5 6" xfId="3740" xr:uid="{C1E6A2B0-713C-45B1-BF43-98B607652327}"/>
    <cellStyle name="20% - Accent3 5 7" xfId="3741" xr:uid="{87DF4E83-4DFA-4EDC-99BF-5131CA607AFA}"/>
    <cellStyle name="20% - Accent3 6" xfId="290" xr:uid="{0F614419-E025-432D-8556-38D5EEC7B6F1}"/>
    <cellStyle name="20% - Accent3 6 2" xfId="291" xr:uid="{0D365E3D-486D-420A-9189-E9CE8BD8AE6C}"/>
    <cellStyle name="20% - Accent3 6 2 2" xfId="292" xr:uid="{7938B2F8-50AA-4EB5-9770-57E25F83DDB5}"/>
    <cellStyle name="20% - Accent3 6 2 2 2" xfId="7257" xr:uid="{A6539E51-2F9D-4AF2-9688-284E98A5BC63}"/>
    <cellStyle name="20% - Accent3 6 2 3" xfId="293" xr:uid="{7AB6111C-BAEB-4224-86A6-7409C8AA1708}"/>
    <cellStyle name="20% - Accent3 6 2 3 2" xfId="7258" xr:uid="{AF304A67-969B-4CDD-BE02-55548BF9B1CF}"/>
    <cellStyle name="20% - Accent3 6 2 4" xfId="3742" xr:uid="{80FCF3B4-3B10-40B1-BD41-8E40370EAB81}"/>
    <cellStyle name="20% - Accent3 6 2 5" xfId="7256" xr:uid="{12E1AE43-9EB1-435D-A3DB-F6AEA858B1FA}"/>
    <cellStyle name="20% - Accent3 6 3" xfId="294" xr:uid="{7E66AE95-DB4F-492C-A2BD-169E2CCC7012}"/>
    <cellStyle name="20% - Accent3 6 4" xfId="3743" xr:uid="{50E70F13-467E-4458-BED2-1CBA1233ADCF}"/>
    <cellStyle name="20% - Accent3 6 5" xfId="3744" xr:uid="{B64E6F3F-3B49-4F77-A628-A1EBAA4234B4}"/>
    <cellStyle name="20% - Accent3 6 6" xfId="3745" xr:uid="{ED126D8A-15A4-4F8D-A4E4-678C0808CFBF}"/>
    <cellStyle name="20% - Accent3 6 7" xfId="3746" xr:uid="{D66BBAFC-F761-472C-AB38-805E687F45E5}"/>
    <cellStyle name="20% - Accent3 7" xfId="295" xr:uid="{389D6D8B-BD14-41B4-8C2E-24CBE01F6459}"/>
    <cellStyle name="20% - Accent3 7 2" xfId="296" xr:uid="{0F2C8F40-5B5E-414D-9226-7FBFE5D3A2A0}"/>
    <cellStyle name="20% - Accent3 7 2 2" xfId="297" xr:uid="{DC148897-CB49-4833-A22B-5892BCD0D4E1}"/>
    <cellStyle name="20% - Accent3 7 2 2 2" xfId="7260" xr:uid="{FF7FC1A9-35C3-46FD-8CD9-73CCF9129813}"/>
    <cellStyle name="20% - Accent3 7 2 3" xfId="298" xr:uid="{5A3DDAA8-0355-4A47-8262-5EB1C9071A0E}"/>
    <cellStyle name="20% - Accent3 7 2 3 2" xfId="7261" xr:uid="{440B812A-FF83-4CE7-B8A0-7BD2B6560114}"/>
    <cellStyle name="20% - Accent3 7 2 4" xfId="3747" xr:uid="{96387F4E-ED37-48EC-9BFE-2292F6A640FC}"/>
    <cellStyle name="20% - Accent3 7 2 5" xfId="7259" xr:uid="{D757F3A9-FCEC-4DBD-837F-2DE91D64753A}"/>
    <cellStyle name="20% - Accent3 7 3" xfId="299" xr:uid="{D3130729-C659-4B04-B587-1311D6431FFE}"/>
    <cellStyle name="20% - Accent3 7 4" xfId="3748" xr:uid="{1BAC7EBC-274F-4A48-9454-F3BFED550DEE}"/>
    <cellStyle name="20% - Accent3 7 5" xfId="3749" xr:uid="{500B8FF1-6DE5-4E7A-AABC-D9BA08CCC6A1}"/>
    <cellStyle name="20% - Accent3 7 6" xfId="3750" xr:uid="{F2891196-194F-4FB3-8FB4-758DE091F290}"/>
    <cellStyle name="20% - Accent3 7 7" xfId="3751" xr:uid="{27C03615-FE3D-4B60-82FF-278BF76D4B0F}"/>
    <cellStyle name="20% - Accent3 8" xfId="300" xr:uid="{14AF9252-AEC7-47EB-8695-6748EAE811C3}"/>
    <cellStyle name="20% - Accent3 8 2" xfId="301" xr:uid="{113DE540-3868-488E-8895-6465EDA3132A}"/>
    <cellStyle name="20% - Accent3 8 2 2" xfId="302" xr:uid="{658B8E22-50A6-44A3-BCE2-7FB9A3EE28F2}"/>
    <cellStyle name="20% - Accent3 8 2 2 2" xfId="7263" xr:uid="{EDC0C6F3-6DE6-451C-A1E4-BC7A6677FD11}"/>
    <cellStyle name="20% - Accent3 8 2 3" xfId="303" xr:uid="{8ABD583C-8BBC-4976-B200-8AF8FE73B12B}"/>
    <cellStyle name="20% - Accent3 8 2 3 2" xfId="7264" xr:uid="{A3195347-247C-418F-AE67-65CF2765865E}"/>
    <cellStyle name="20% - Accent3 8 2 4" xfId="3752" xr:uid="{F39FA657-F28F-4CA2-A474-0AC09297282A}"/>
    <cellStyle name="20% - Accent3 8 2 5" xfId="7262" xr:uid="{A112720F-ADFD-4F4D-8298-D749D452E35D}"/>
    <cellStyle name="20% - Accent3 8 3" xfId="304" xr:uid="{EAB1B2E5-BF30-45A5-A3BF-D4D69C2CEF06}"/>
    <cellStyle name="20% - Accent3 8 4" xfId="3753" xr:uid="{338D8C31-ACFE-4B43-B0B3-C7178BC41438}"/>
    <cellStyle name="20% - Accent3 8 5" xfId="3754" xr:uid="{72FF7CF6-140D-4A44-9C04-9ED5D598F9F1}"/>
    <cellStyle name="20% - Accent3 8 6" xfId="3755" xr:uid="{928DFD59-2ED7-4581-AFB8-EB8A8387DFD2}"/>
    <cellStyle name="20% - Accent3 8 7" xfId="3756" xr:uid="{1CF962D1-2EA4-4EB0-BFCC-706569D91A74}"/>
    <cellStyle name="20% - Accent3 9" xfId="305" xr:uid="{0CF7ED5F-2925-4D81-B28C-10AEE8AEADEA}"/>
    <cellStyle name="20% - Accent3 9 2" xfId="306" xr:uid="{18A4FD14-BFDD-4A0B-8CCA-DB958A85196B}"/>
    <cellStyle name="20% - Accent3 9 2 2" xfId="307" xr:uid="{2CBEA407-DB78-4C35-8087-DA1B4AFC1555}"/>
    <cellStyle name="20% - Accent3 9 2 2 2" xfId="7266" xr:uid="{2834432A-65FF-4F5D-B674-F60F356B3315}"/>
    <cellStyle name="20% - Accent3 9 2 3" xfId="308" xr:uid="{712AD6C0-6E25-4FA8-9F16-EF8FD8062102}"/>
    <cellStyle name="20% - Accent3 9 2 3 2" xfId="7267" xr:uid="{3CD073F6-DC61-4CC2-8314-3D911B19BFED}"/>
    <cellStyle name="20% - Accent3 9 2 4" xfId="3757" xr:uid="{DAA42FB2-CBF7-4126-8BCB-7B631A1090A3}"/>
    <cellStyle name="20% - Accent3 9 2 5" xfId="7265" xr:uid="{3FF07C91-A507-4E80-BCD4-742949F99FDF}"/>
    <cellStyle name="20% - Accent3 9 3" xfId="309" xr:uid="{4D9FD5FF-02B8-4FDB-AD90-87C95FFE95C1}"/>
    <cellStyle name="20% - Accent3 9 4" xfId="3758" xr:uid="{6AF196C6-29B0-4185-8D32-A2386BFF7B40}"/>
    <cellStyle name="20% - Accent3 9 5" xfId="3759" xr:uid="{8FEB7610-214D-41E1-81C9-C4265AE9D689}"/>
    <cellStyle name="20% - Accent3 9 6" xfId="3760" xr:uid="{8AB749B5-6018-4BDF-9ED1-5066091D0E8E}"/>
    <cellStyle name="20% - Accent3 9 7" xfId="3761" xr:uid="{B9D5FEA7-B07D-4199-A449-3322A06F03F9}"/>
    <cellStyle name="20% - Accent4 10" xfId="310" xr:uid="{7129E138-B2C3-4F63-9646-AFFA9E45DF83}"/>
    <cellStyle name="20% - Accent4 10 2" xfId="311" xr:uid="{C1AB3EA8-E0CC-4A74-9437-94CEA0C27547}"/>
    <cellStyle name="20% - Accent4 10 2 2" xfId="312" xr:uid="{5BD025A7-44D3-4B21-9F47-2CB303F5CDE7}"/>
    <cellStyle name="20% - Accent4 10 2 2 2" xfId="7269" xr:uid="{E766471B-A213-4018-9278-88C58A023DE4}"/>
    <cellStyle name="20% - Accent4 10 2 3" xfId="313" xr:uid="{643E2B52-F867-4A2F-8702-BB272EB8520E}"/>
    <cellStyle name="20% - Accent4 10 2 3 2" xfId="7270" xr:uid="{C8DDA345-8AE0-4ED5-A5E3-BFE5B1EE6847}"/>
    <cellStyle name="20% - Accent4 10 2 4" xfId="3762" xr:uid="{68A45A21-701C-49D4-842F-2E7BA8F05773}"/>
    <cellStyle name="20% - Accent4 10 2 5" xfId="7268" xr:uid="{28A722B9-3C6E-46B9-9AE5-49C7FC119D56}"/>
    <cellStyle name="20% - Accent4 10 3" xfId="314" xr:uid="{D09CCEBC-A208-4B3A-A7FB-00AD3EA32EE4}"/>
    <cellStyle name="20% - Accent4 10 3 2" xfId="3763" xr:uid="{6CA62441-B37F-425B-AD36-F970B10041A4}"/>
    <cellStyle name="20% - Accent4 10 4" xfId="3764" xr:uid="{1132E329-B669-4DF7-AA50-7B4279858799}"/>
    <cellStyle name="20% - Accent4 10 5" xfId="3765" xr:uid="{17D57FC0-D1C0-4FF6-BB6F-05BA12FAD800}"/>
    <cellStyle name="20% - Accent4 10 6" xfId="3766" xr:uid="{B281BD8F-5C9F-46F9-8901-88D325A5C025}"/>
    <cellStyle name="20% - Accent4 10 7" xfId="3767" xr:uid="{BF1624BF-E575-45B0-8874-511B40EA2508}"/>
    <cellStyle name="20% - Accent4 11" xfId="315" xr:uid="{AA7D54A1-7823-4012-B616-EB9B61C5708B}"/>
    <cellStyle name="20% - Accent4 11 2" xfId="316" xr:uid="{CEC38691-91A7-41D9-A451-648154D00729}"/>
    <cellStyle name="20% - Accent4 11 2 2" xfId="317" xr:uid="{3F1E9DDC-40A3-452B-9FC0-FE3D8D05C2F4}"/>
    <cellStyle name="20% - Accent4 11 2 2 2" xfId="7272" xr:uid="{4D2115D4-AEC5-4178-B35F-A399356F6170}"/>
    <cellStyle name="20% - Accent4 11 2 3" xfId="318" xr:uid="{345BCCB5-AB7E-404D-9509-23D105F5882A}"/>
    <cellStyle name="20% - Accent4 11 2 3 2" xfId="7273" xr:uid="{E8B43D36-101B-4375-BE77-12703E330E0D}"/>
    <cellStyle name="20% - Accent4 11 2 4" xfId="3768" xr:uid="{9761F995-5090-49B1-B073-E02494C8A773}"/>
    <cellStyle name="20% - Accent4 11 2 5" xfId="7271" xr:uid="{C549D2C3-E14C-47F7-8912-CF234AFF6A8B}"/>
    <cellStyle name="20% - Accent4 11 3" xfId="319" xr:uid="{D232F7D1-0168-4FFA-A1ED-24FE61C8CCE2}"/>
    <cellStyle name="20% - Accent4 11 3 2" xfId="3769" xr:uid="{F1649BAD-AE56-491C-A6C5-0EB745EF7CBF}"/>
    <cellStyle name="20% - Accent4 11 4" xfId="3770" xr:uid="{6071D6E6-5E84-48D3-9A0E-6C087AEC9326}"/>
    <cellStyle name="20% - Accent4 11 5" xfId="3771" xr:uid="{D778014E-C435-48E1-AF87-59B123CC5719}"/>
    <cellStyle name="20% - Accent4 11 6" xfId="3772" xr:uid="{62D874AF-9158-429D-9DC4-3D4163CE5FA2}"/>
    <cellStyle name="20% - Accent4 11 7" xfId="3773" xr:uid="{6FD5D6A3-B128-401B-8B54-73754D626EE6}"/>
    <cellStyle name="20% - Accent4 12" xfId="320" xr:uid="{A5AAEE26-2263-4C6F-9DAC-A00E538E0294}"/>
    <cellStyle name="20% - Accent4 12 2" xfId="321" xr:uid="{646CC89B-CEBA-443F-A481-18D3FE5B8185}"/>
    <cellStyle name="20% - Accent4 12 2 2" xfId="322" xr:uid="{244C0C95-ECB8-455A-A44F-DAE870E91573}"/>
    <cellStyle name="20% - Accent4 12 2 2 2" xfId="7275" xr:uid="{7D9AC55E-4B52-468C-8415-8EAD5749C826}"/>
    <cellStyle name="20% - Accent4 12 2 3" xfId="323" xr:uid="{4EAEA19A-3600-4616-B19A-BB5186437786}"/>
    <cellStyle name="20% - Accent4 12 2 3 2" xfId="7276" xr:uid="{224D2721-EC44-4FCC-B9D2-127298762BA2}"/>
    <cellStyle name="20% - Accent4 12 2 4" xfId="3774" xr:uid="{DF28BB79-86E0-4CBF-82E3-5A6F05413358}"/>
    <cellStyle name="20% - Accent4 12 2 5" xfId="7274" xr:uid="{1D9E20C4-85F3-410F-A667-DE72298EAB63}"/>
    <cellStyle name="20% - Accent4 12 3" xfId="324" xr:uid="{0F7D7E55-1AFF-4A7F-84B0-5CA07CCC9EAC}"/>
    <cellStyle name="20% - Accent4 12 3 2" xfId="3775" xr:uid="{B825D6EF-2AF9-4417-98B3-D2ADEC7A50BE}"/>
    <cellStyle name="20% - Accent4 12 4" xfId="3776" xr:uid="{DB3C97C0-B12D-49CF-B053-C6F45F650131}"/>
    <cellStyle name="20% - Accent4 12 5" xfId="3777" xr:uid="{89065810-89F3-42C1-AA93-F25523A369F8}"/>
    <cellStyle name="20% - Accent4 12 6" xfId="3778" xr:uid="{C8688CAD-E9FF-49BD-B5F9-1C99EC80470E}"/>
    <cellStyle name="20% - Accent4 12 7" xfId="3779" xr:uid="{B384E354-0FE6-4D5D-A925-D7F786619C3A}"/>
    <cellStyle name="20% - Accent4 13" xfId="325" xr:uid="{291930BA-E2F0-4A5A-B994-6413ACC12D6D}"/>
    <cellStyle name="20% - Accent4 13 2" xfId="326" xr:uid="{CE6EA643-BA55-4E77-AACE-8581C2CA5E0A}"/>
    <cellStyle name="20% - Accent4 13 2 2" xfId="3780" xr:uid="{0AAD758D-6390-4E01-9733-CAAD55AD9969}"/>
    <cellStyle name="20% - Accent4 14" xfId="327" xr:uid="{04042D56-2FE6-4072-AAFE-572F797E32C6}"/>
    <cellStyle name="20% - Accent4 14 2" xfId="328" xr:uid="{979472C0-64ED-4A8F-96C5-0F80351F1683}"/>
    <cellStyle name="20% - Accent4 14 2 2" xfId="3781" xr:uid="{63CB7A9F-5BC8-4429-A54E-BE5A594326C6}"/>
    <cellStyle name="20% - Accent4 15" xfId="329" xr:uid="{D4CB6910-E949-4782-BA0C-A3C3BB718053}"/>
    <cellStyle name="20% - Accent4 15 2" xfId="330" xr:uid="{B1750891-20D0-4B27-8F5C-83A8CD4E7BF6}"/>
    <cellStyle name="20% - Accent4 15 2 2" xfId="3782" xr:uid="{51D05D0F-D70B-43B4-B011-23E7B8848FF3}"/>
    <cellStyle name="20% - Accent4 16" xfId="331" xr:uid="{458D0416-05FE-4C50-BD7B-F1E00D12A62D}"/>
    <cellStyle name="20% - Accent4 16 2" xfId="332" xr:uid="{19AD207B-AF1F-4D06-A087-A69B9F320365}"/>
    <cellStyle name="20% - Accent4 16 2 2" xfId="3783" xr:uid="{528F42B9-89AA-47C6-A534-1C15CB8D4485}"/>
    <cellStyle name="20% - Accent4 17" xfId="333" xr:uid="{CAED9487-D554-45CB-97C4-0596C43FE1B7}"/>
    <cellStyle name="20% - Accent4 17 2" xfId="334" xr:uid="{7674A2DE-8D7D-4D02-83E5-23E7EF04B62F}"/>
    <cellStyle name="20% - Accent4 17 2 2" xfId="3784" xr:uid="{9987BC42-B18C-4A79-9B34-87789F4635A9}"/>
    <cellStyle name="20% - Accent4 18" xfId="335" xr:uid="{C5424BDB-71C6-4377-A51F-0F60733A005D}"/>
    <cellStyle name="20% - Accent4 18 2" xfId="336" xr:uid="{D9A02497-F2D9-470F-9722-49173FDDD1DB}"/>
    <cellStyle name="20% - Accent4 18 2 2" xfId="3785" xr:uid="{578B3D7E-5A18-4962-9607-AE05E5EA6DCF}"/>
    <cellStyle name="20% - Accent4 19" xfId="337" xr:uid="{2CB22A3B-53D5-4376-9C39-D11F66387C2A}"/>
    <cellStyle name="20% - Accent4 19 2" xfId="338" xr:uid="{455CF475-6C94-4517-81E3-23733C3F7A3E}"/>
    <cellStyle name="20% - Accent4 19 2 2" xfId="3786" xr:uid="{51EA5571-C3CC-4F39-8863-700253538EDD}"/>
    <cellStyle name="20% - Accent4 2" xfId="339" xr:uid="{11276BB8-08B2-489A-9D7F-845D15072A58}"/>
    <cellStyle name="20% - Accent4 2 2" xfId="340" xr:uid="{728A159C-5181-4562-93B2-00629087093B}"/>
    <cellStyle name="20% - Accent4 2 2 2" xfId="341" xr:uid="{F41AE12D-A22C-4E59-91D9-1B01B67C6BBC}"/>
    <cellStyle name="20% - Accent4 2 2 2 2" xfId="342" xr:uid="{181A54AC-92A4-4A17-AAC9-C715EDA8A574}"/>
    <cellStyle name="20% - Accent4 2 2 2 2 2" xfId="7279" xr:uid="{6675B8AF-EF05-49F0-A214-CB42CE4FE431}"/>
    <cellStyle name="20% - Accent4 2 2 2 3" xfId="343" xr:uid="{6132E5BD-7A19-4540-8444-3B66E7262BC7}"/>
    <cellStyle name="20% - Accent4 2 2 2 3 2" xfId="7280" xr:uid="{1CE5D4A1-9F73-44CE-8F18-D9C8EDBEAF95}"/>
    <cellStyle name="20% - Accent4 2 2 2 4" xfId="7278" xr:uid="{94A0DC9E-BF49-4CD2-A2C9-CE3AF1BBA417}"/>
    <cellStyle name="20% - Accent4 2 2 3" xfId="344" xr:uid="{71459326-12EB-4A05-8DB1-9C10AE7F77AE}"/>
    <cellStyle name="20% - Accent4 2 2 3 2" xfId="7281" xr:uid="{2EA81322-59AE-4664-B392-556650252DE4}"/>
    <cellStyle name="20% - Accent4 2 2 4" xfId="345" xr:uid="{0763C257-76A4-4493-B364-752207FDFA1F}"/>
    <cellStyle name="20% - Accent4 2 2 4 2" xfId="7282" xr:uid="{FA4C9621-3FEA-4237-A31F-7A7A0C902FC6}"/>
    <cellStyle name="20% - Accent4 2 2 5" xfId="3421" xr:uid="{EC10EB74-539D-441B-B00D-1854C149FC98}"/>
    <cellStyle name="20% - Accent4 2 2 6" xfId="7277" xr:uid="{2012998D-EAE2-4395-906C-5DB095EA57D2}"/>
    <cellStyle name="20% - Accent4 2 3" xfId="346" xr:uid="{1644C287-972E-446D-A3D3-619AC78FE33A}"/>
    <cellStyle name="20% - Accent4 2 3 2" xfId="3462" xr:uid="{7FE189E9-2E3B-475C-94E4-3D7936DBFA45}"/>
    <cellStyle name="20% - Accent4 2 3 3" xfId="7766" xr:uid="{BECA9CE8-FCBF-4AAD-A6C6-8182768CF44A}"/>
    <cellStyle name="20% - Accent4 2 4" xfId="3787" xr:uid="{4F3B04E8-5D05-460B-A12E-A6EB4A8C4DE3}"/>
    <cellStyle name="20% - Accent4 2 5" xfId="3788" xr:uid="{FFA25C69-64D8-411D-BB16-D08E4EDB91CE}"/>
    <cellStyle name="20% - Accent4 2 6" xfId="3789" xr:uid="{DF6C3ED4-D20F-4CCB-AE25-7D21BFF14463}"/>
    <cellStyle name="20% - Accent4 2 7" xfId="3790" xr:uid="{96AA1F79-2E83-411F-A227-0861132F4E48}"/>
    <cellStyle name="20% - Accent4 2 8" xfId="3383" xr:uid="{506537A4-119E-4788-AC3F-8D298223B093}"/>
    <cellStyle name="20% - Accent4 2 9" xfId="7734" xr:uid="{DDED7DF3-0CC8-410A-A90E-5036C87FFBB4}"/>
    <cellStyle name="20% - Accent4 20" xfId="347" xr:uid="{B510450E-A5E3-42EE-A05D-CBE356EB47F1}"/>
    <cellStyle name="20% - Accent4 20 2" xfId="348" xr:uid="{408FB4D1-1EAA-4E5B-9321-22A87638C877}"/>
    <cellStyle name="20% - Accent4 20 2 2" xfId="3791" xr:uid="{A2362B03-A7D8-405C-8EDA-8DDF73C9579E}"/>
    <cellStyle name="20% - Accent4 21" xfId="349" xr:uid="{0E0E2EE7-B001-4094-B167-B7D359663546}"/>
    <cellStyle name="20% - Accent4 21 2" xfId="350" xr:uid="{B6CBE78F-6430-469C-B86E-323013C42B92}"/>
    <cellStyle name="20% - Accent4 21 2 2" xfId="3792" xr:uid="{262B4677-48CF-46CB-8FFE-278AC790C80A}"/>
    <cellStyle name="20% - Accent4 22" xfId="351" xr:uid="{F8A495C2-BAD8-4CBA-A841-830C223556D6}"/>
    <cellStyle name="20% - Accent4 22 2" xfId="352" xr:uid="{55941CEF-E491-4731-884E-B8D42790C51D}"/>
    <cellStyle name="20% - Accent4 23" xfId="353" xr:uid="{23F03285-10FF-4B85-A1F5-68642BB892BA}"/>
    <cellStyle name="20% - Accent4 23 2" xfId="354" xr:uid="{13AC17D9-6989-4AEC-880C-3329EDC860DE}"/>
    <cellStyle name="20% - Accent4 24" xfId="355" xr:uid="{70F4289F-D05F-496F-A2B7-30CE688B4A9D}"/>
    <cellStyle name="20% - Accent4 24 2" xfId="356" xr:uid="{CB93E869-133A-4ECA-9C45-B186E169DCAC}"/>
    <cellStyle name="20% - Accent4 25" xfId="357" xr:uid="{A348A87F-1990-4821-BCCC-4C06A6C793E8}"/>
    <cellStyle name="20% - Accent4 26" xfId="358" xr:uid="{2FFB3586-1964-4D66-A005-63256A9E529F}"/>
    <cellStyle name="20% - Accent4 26 2" xfId="7283" xr:uid="{F813AC9E-6534-499C-A7C6-111C587686F6}"/>
    <cellStyle name="20% - Accent4 27" xfId="7718" xr:uid="{53C96EB9-1475-46D2-B352-C9308B00179E}"/>
    <cellStyle name="20% - Accent4 3" xfId="359" xr:uid="{67AA7D08-C6A8-472C-AEFD-0F2ECDC7ACB1}"/>
    <cellStyle name="20% - Accent4 3 2" xfId="360" xr:uid="{AE9E8482-F3FA-418E-98FA-7C25D0AD2450}"/>
    <cellStyle name="20% - Accent4 3 2 2" xfId="361" xr:uid="{7168DDD2-8532-4228-91DB-BE5DDA1D7876}"/>
    <cellStyle name="20% - Accent4 3 2 2 2" xfId="7285" xr:uid="{C5029A49-A5F0-4906-B831-34F90664F932}"/>
    <cellStyle name="20% - Accent4 3 2 3" xfId="362" xr:uid="{DAF048ED-A4F9-42FF-A97F-C0C3888893D5}"/>
    <cellStyle name="20% - Accent4 3 2 3 2" xfId="7286" xr:uid="{FF76B474-4B12-494F-A66C-0F1DCA93CCFD}"/>
    <cellStyle name="20% - Accent4 3 2 4" xfId="3793" xr:uid="{B0BFAAFD-EE55-4FCF-B685-E2314585BAC0}"/>
    <cellStyle name="20% - Accent4 3 2 5" xfId="7284" xr:uid="{4B59C716-8E6A-499F-A652-028D765EAEF2}"/>
    <cellStyle name="20% - Accent4 3 3" xfId="363" xr:uid="{B620BB1B-5203-46C6-A13E-CAB3CB8FE7BA}"/>
    <cellStyle name="20% - Accent4 3 3 2" xfId="3794" xr:uid="{AB0F280F-7724-46B3-96EC-43970C6017D2}"/>
    <cellStyle name="20% - Accent4 3 4" xfId="3795" xr:uid="{9014604A-0C0A-4C8C-BE65-21CD379572B8}"/>
    <cellStyle name="20% - Accent4 3 5" xfId="3796" xr:uid="{B9964558-10AA-403B-8DD8-10306DA9C20E}"/>
    <cellStyle name="20% - Accent4 3 6" xfId="3797" xr:uid="{D3119F62-F81C-4048-B381-45ABD912EBA2}"/>
    <cellStyle name="20% - Accent4 3 7" xfId="3798" xr:uid="{BF1717BC-BDF1-4205-A3AA-F2B03FC68145}"/>
    <cellStyle name="20% - Accent4 3 8" xfId="3436" xr:uid="{93B92CB4-55EB-44F7-AFA4-7B50A341AB2E}"/>
    <cellStyle name="20% - Accent4 3 9" xfId="7751" xr:uid="{D18AA055-F53F-41A9-85BC-E95EE1568BA4}"/>
    <cellStyle name="20% - Accent4 4" xfId="364" xr:uid="{55F1F119-E5BB-4DA6-B8E6-D82CF0C279A3}"/>
    <cellStyle name="20% - Accent4 4 2" xfId="365" xr:uid="{D0886255-3B08-4083-A752-D87DEC4F559A}"/>
    <cellStyle name="20% - Accent4 4 2 2" xfId="366" xr:uid="{86BDC610-FF79-4D0E-93D6-170B9AD92A85}"/>
    <cellStyle name="20% - Accent4 4 2 2 2" xfId="7288" xr:uid="{2EB7060D-2C77-44E1-9944-EA229F579CC1}"/>
    <cellStyle name="20% - Accent4 4 2 3" xfId="367" xr:uid="{A2B3260A-2B59-407C-BC13-C869A550D711}"/>
    <cellStyle name="20% - Accent4 4 2 3 2" xfId="7289" xr:uid="{B8B429B9-1587-4C0E-9961-E12DED6E8D51}"/>
    <cellStyle name="20% - Accent4 4 2 4" xfId="3800" xr:uid="{D581E28D-BBCE-4895-9116-F747E99E6927}"/>
    <cellStyle name="20% - Accent4 4 2 5" xfId="7287" xr:uid="{6BA38B38-7799-4D57-AD1F-4FD5C2889B79}"/>
    <cellStyle name="20% - Accent4 4 3" xfId="368" xr:uid="{E9B1BFCF-DFB5-44F8-85ED-268A22812F32}"/>
    <cellStyle name="20% - Accent4 4 3 2" xfId="3801" xr:uid="{32E0BDA2-5697-4861-93DD-0D95C5394696}"/>
    <cellStyle name="20% - Accent4 4 4" xfId="3802" xr:uid="{C19EF319-2F32-4A60-AE98-63FAFE506521}"/>
    <cellStyle name="20% - Accent4 4 5" xfId="3803" xr:uid="{9C334522-233A-42C6-A3A3-03AD7F9CEF6C}"/>
    <cellStyle name="20% - Accent4 4 6" xfId="3804" xr:uid="{ABFEEF23-8953-4C82-8594-4B060962A4DC}"/>
    <cellStyle name="20% - Accent4 4 7" xfId="3805" xr:uid="{1CFA96C2-D261-43EE-A60D-C1492D2FA039}"/>
    <cellStyle name="20% - Accent4 4 8" xfId="3799" xr:uid="{9CDA9086-96CC-4025-86C8-7842892B4CFE}"/>
    <cellStyle name="20% - Accent4 5" xfId="369" xr:uid="{4DA3420A-08CD-44BD-BA43-61E27829442D}"/>
    <cellStyle name="20% - Accent4 5 2" xfId="370" xr:uid="{2B4D2A8A-9CBA-4F93-9EEA-A9147C756379}"/>
    <cellStyle name="20% - Accent4 5 2 2" xfId="371" xr:uid="{D4FF2480-C337-4CCC-974A-6B8486BF5CEB}"/>
    <cellStyle name="20% - Accent4 5 2 2 2" xfId="7291" xr:uid="{7F3B5C8B-A994-4002-BC85-4E0A29F50808}"/>
    <cellStyle name="20% - Accent4 5 2 3" xfId="372" xr:uid="{1D01E979-0336-45B6-B323-20AEAAF91AA5}"/>
    <cellStyle name="20% - Accent4 5 2 3 2" xfId="7292" xr:uid="{7F026795-D008-4775-8C85-EB13D78F2804}"/>
    <cellStyle name="20% - Accent4 5 2 4" xfId="3807" xr:uid="{2B658BC1-BFB6-4523-93E5-3A488672C191}"/>
    <cellStyle name="20% - Accent4 5 2 5" xfId="7290" xr:uid="{917AC64C-4B3B-4A75-ACD3-310C361C7EAC}"/>
    <cellStyle name="20% - Accent4 5 3" xfId="373" xr:uid="{026D6349-245D-4237-B575-01D535CBF224}"/>
    <cellStyle name="20% - Accent4 5 3 2" xfId="3808" xr:uid="{AEED459D-AC61-483B-902F-17A136FA52A4}"/>
    <cellStyle name="20% - Accent4 5 4" xfId="3809" xr:uid="{C2BF76FC-8294-474D-8F16-54913194B7DF}"/>
    <cellStyle name="20% - Accent4 5 5" xfId="3810" xr:uid="{5B57094F-C2D0-4B3B-A004-A937EEDEEE2E}"/>
    <cellStyle name="20% - Accent4 5 6" xfId="3811" xr:uid="{C43C4191-C053-45FA-8C78-355D26A87BBE}"/>
    <cellStyle name="20% - Accent4 5 7" xfId="3812" xr:uid="{0977CFF8-D4DF-4E1E-8C37-6DA7EEC719F4}"/>
    <cellStyle name="20% - Accent4 5 8" xfId="3806" xr:uid="{704C779C-DCFC-46E1-9703-80198584F0C2}"/>
    <cellStyle name="20% - Accent4 6" xfId="374" xr:uid="{4B986C36-94EF-44DA-A7C5-87B183C55512}"/>
    <cellStyle name="20% - Accent4 6 2" xfId="375" xr:uid="{CA05F909-41DB-4771-A6CB-FCFE29AC9C79}"/>
    <cellStyle name="20% - Accent4 6 2 2" xfId="376" xr:uid="{767F976A-BC73-418E-8A19-28B7CC3E98A5}"/>
    <cellStyle name="20% - Accent4 6 2 2 2" xfId="7294" xr:uid="{BD9206AE-E9A1-4E28-A180-0BDA5A1E7EC0}"/>
    <cellStyle name="20% - Accent4 6 2 3" xfId="377" xr:uid="{BA5811BD-85D9-4E29-A778-83FA551C886D}"/>
    <cellStyle name="20% - Accent4 6 2 3 2" xfId="7295" xr:uid="{88D8CA76-3B1D-41B7-88C8-7984D52FB334}"/>
    <cellStyle name="20% - Accent4 6 2 4" xfId="3813" xr:uid="{12BD30F0-5F1F-4B19-B612-098DF24ECD79}"/>
    <cellStyle name="20% - Accent4 6 2 5" xfId="7293" xr:uid="{8B9E581F-70F1-48DF-ABED-051FEAA37932}"/>
    <cellStyle name="20% - Accent4 6 3" xfId="378" xr:uid="{E3C40B15-82C3-43DA-8177-9C437BD53AEA}"/>
    <cellStyle name="20% - Accent4 6 3 2" xfId="3814" xr:uid="{8C258B59-1CB6-45AD-A7D8-0804B4EE4231}"/>
    <cellStyle name="20% - Accent4 6 4" xfId="3815" xr:uid="{8A7B29E4-F98C-428A-924F-8254DF1FDAC5}"/>
    <cellStyle name="20% - Accent4 6 5" xfId="3816" xr:uid="{8838C8D6-4224-4593-B462-413CFB57C3C0}"/>
    <cellStyle name="20% - Accent4 6 6" xfId="3817" xr:uid="{02B337F2-2FBF-4E14-AF94-6A86E211364F}"/>
    <cellStyle name="20% - Accent4 6 7" xfId="3818" xr:uid="{2E1CA16E-B1F9-448E-B7CA-D406C14EB402}"/>
    <cellStyle name="20% - Accent4 7" xfId="379" xr:uid="{67BEB82A-7323-48D3-9317-AFAC4448601A}"/>
    <cellStyle name="20% - Accent4 7 2" xfId="380" xr:uid="{B2FA61CF-61AB-4536-8FF0-53282FD06552}"/>
    <cellStyle name="20% - Accent4 7 2 2" xfId="381" xr:uid="{92DCFC56-12AF-4F5F-BE51-887EF1FD2F55}"/>
    <cellStyle name="20% - Accent4 7 2 2 2" xfId="7297" xr:uid="{12D682E3-CF2A-4331-AFD6-D450F6CFEF8D}"/>
    <cellStyle name="20% - Accent4 7 2 3" xfId="382" xr:uid="{333596E0-4437-4DC8-B1A0-F21508A29266}"/>
    <cellStyle name="20% - Accent4 7 2 3 2" xfId="7298" xr:uid="{8F388A56-D8E4-46C3-AFAA-94B80256FC53}"/>
    <cellStyle name="20% - Accent4 7 2 4" xfId="3819" xr:uid="{A390EF6B-FC91-44F8-BB91-45B939FA8EAC}"/>
    <cellStyle name="20% - Accent4 7 2 5" xfId="7296" xr:uid="{3513C483-6685-4C2E-8E05-754C4024C57A}"/>
    <cellStyle name="20% - Accent4 7 3" xfId="383" xr:uid="{940E7379-D069-4B0D-891D-D64A37B9F1F3}"/>
    <cellStyle name="20% - Accent4 7 3 2" xfId="3820" xr:uid="{C2586CF4-474D-423E-BCD2-F67FB52C698A}"/>
    <cellStyle name="20% - Accent4 7 4" xfId="3821" xr:uid="{1EFCA2A5-E8C4-492F-8385-7401499F4295}"/>
    <cellStyle name="20% - Accent4 7 5" xfId="3822" xr:uid="{90C0829A-379B-4041-BE4A-0A84FA9FF5B5}"/>
    <cellStyle name="20% - Accent4 7 6" xfId="3823" xr:uid="{7A769AF5-C6FD-4383-8090-D12F12BA6BD5}"/>
    <cellStyle name="20% - Accent4 7 7" xfId="3824" xr:uid="{83B18671-BEF5-43D5-B270-23B838F818D8}"/>
    <cellStyle name="20% - Accent4 8" xfId="384" xr:uid="{4A6FF661-6C93-44E7-B35F-44D0212A2C36}"/>
    <cellStyle name="20% - Accent4 8 2" xfId="385" xr:uid="{67DBBD12-FD39-4654-8941-F27C7D1D21EF}"/>
    <cellStyle name="20% - Accent4 8 2 2" xfId="386" xr:uid="{F820B14E-39EC-4262-B0FB-8CD64FF7D71F}"/>
    <cellStyle name="20% - Accent4 8 2 2 2" xfId="7300" xr:uid="{205142E7-9788-4B6F-93FD-D3EB93BEC6DE}"/>
    <cellStyle name="20% - Accent4 8 2 3" xfId="387" xr:uid="{5D460540-0C2D-4FA1-B3D7-F6D5FD08B900}"/>
    <cellStyle name="20% - Accent4 8 2 3 2" xfId="7301" xr:uid="{00D1E560-83A0-41A7-AF46-678F08E71981}"/>
    <cellStyle name="20% - Accent4 8 2 4" xfId="3825" xr:uid="{10C69037-36B7-4F71-92EA-E90F4CB1303F}"/>
    <cellStyle name="20% - Accent4 8 2 5" xfId="7299" xr:uid="{44A2E0A0-51E2-4EE1-AD46-CE0343062426}"/>
    <cellStyle name="20% - Accent4 8 3" xfId="388" xr:uid="{BB97841E-757E-4458-918B-7C028CF2D93C}"/>
    <cellStyle name="20% - Accent4 8 3 2" xfId="3826" xr:uid="{A4126098-E604-4A8E-831C-9EE9BF7904DE}"/>
    <cellStyle name="20% - Accent4 8 4" xfId="3827" xr:uid="{963DB9DB-C744-4E3C-AEE6-F3DC858FDDFB}"/>
    <cellStyle name="20% - Accent4 8 5" xfId="3828" xr:uid="{C33E6703-AD82-4C83-B21E-44630BF2C6C6}"/>
    <cellStyle name="20% - Accent4 8 6" xfId="3829" xr:uid="{10806B0F-DDD7-4131-B5DE-8696DED4196B}"/>
    <cellStyle name="20% - Accent4 8 7" xfId="3830" xr:uid="{5F8C518C-44E5-4278-B57B-69DA6F01E8AE}"/>
    <cellStyle name="20% - Accent4 9" xfId="389" xr:uid="{D1783B28-56B6-44F7-83CF-221329FC7236}"/>
    <cellStyle name="20% - Accent4 9 2" xfId="390" xr:uid="{F51522B7-293F-4DF2-A945-6FF66FD471AB}"/>
    <cellStyle name="20% - Accent4 9 2 2" xfId="391" xr:uid="{627146E2-5175-48CD-8EFE-3D9B83C2EE73}"/>
    <cellStyle name="20% - Accent4 9 2 2 2" xfId="7303" xr:uid="{32CA4118-878A-41FC-97F1-49B1F7457E70}"/>
    <cellStyle name="20% - Accent4 9 2 3" xfId="392" xr:uid="{DFE3C25B-E3D8-4CC5-AB27-0C53C2D85A58}"/>
    <cellStyle name="20% - Accent4 9 2 3 2" xfId="7304" xr:uid="{A3E335D0-7373-4FA9-9E80-0AF3F38D101A}"/>
    <cellStyle name="20% - Accent4 9 2 4" xfId="3831" xr:uid="{810B4D3E-077A-432C-9CB1-2E903F013AF5}"/>
    <cellStyle name="20% - Accent4 9 2 5" xfId="7302" xr:uid="{B3F58EC7-085A-41D8-B8CC-489819F2D5A4}"/>
    <cellStyle name="20% - Accent4 9 3" xfId="393" xr:uid="{D18314B1-0B49-4A10-A146-D02CA53AB8AD}"/>
    <cellStyle name="20% - Accent4 9 3 2" xfId="3832" xr:uid="{0BF09DE0-CEAB-4ED4-BF8A-EA89DD0D3331}"/>
    <cellStyle name="20% - Accent4 9 4" xfId="3833" xr:uid="{FA857EE4-A570-450C-8226-42ED4E780C33}"/>
    <cellStyle name="20% - Accent4 9 5" xfId="3834" xr:uid="{BF4F3ADF-D614-47DA-AC12-BCA2B3BBE04A}"/>
    <cellStyle name="20% - Accent4 9 6" xfId="3835" xr:uid="{81785644-4EFE-4AF6-B646-699E01A4127D}"/>
    <cellStyle name="20% - Accent4 9 7" xfId="3836" xr:uid="{8CCA03E7-1534-4883-B81F-7CE378C66B76}"/>
    <cellStyle name="20% - Accent5 10" xfId="394" xr:uid="{1EE45FFF-0124-48AA-8E42-C56DDDC80357}"/>
    <cellStyle name="20% - Accent5 10 2" xfId="395" xr:uid="{63444300-2C33-4761-BF5F-095222E2F6F5}"/>
    <cellStyle name="20% - Accent5 10 2 2" xfId="3837" xr:uid="{E648B832-AED5-49C3-A30C-DAF6CD3FDF69}"/>
    <cellStyle name="20% - Accent5 10 2 3" xfId="7306" xr:uid="{24BDD5A4-5F43-4119-874A-78DCD5C7C9B8}"/>
    <cellStyle name="20% - Accent5 10 3" xfId="3838" xr:uid="{7016FED8-555E-4A0D-8E73-F5FA18CE6FA4}"/>
    <cellStyle name="20% - Accent5 10 4" xfId="3839" xr:uid="{3D71201C-D551-4C69-BCAA-1CBA33EA31A1}"/>
    <cellStyle name="20% - Accent5 10 5" xfId="3840" xr:uid="{185AB4E1-C99F-4E3A-AEC9-4621023FE83E}"/>
    <cellStyle name="20% - Accent5 10 6" xfId="3841" xr:uid="{DA31EB8B-E870-4A06-A85E-CD47F5E8A086}"/>
    <cellStyle name="20% - Accent5 10 7" xfId="3842" xr:uid="{CF816A9E-E618-4231-A790-617B54D37EF6}"/>
    <cellStyle name="20% - Accent5 10 8" xfId="7305" xr:uid="{5C9FB22C-4476-4BAA-85BF-10C8732D7D1C}"/>
    <cellStyle name="20% - Accent5 11" xfId="396" xr:uid="{0C08FFCC-DC8C-476C-94DD-A4C20619E90C}"/>
    <cellStyle name="20% - Accent5 11 2" xfId="397" xr:uid="{AE0869CF-1C99-477D-8976-48181E89CF67}"/>
    <cellStyle name="20% - Accent5 11 2 2" xfId="3843" xr:uid="{FAF40837-7F86-4BF1-9831-83B9E486B5AE}"/>
    <cellStyle name="20% - Accent5 11 2 3" xfId="7308" xr:uid="{9E02450F-2B62-4B32-B110-1327F03267A9}"/>
    <cellStyle name="20% - Accent5 11 3" xfId="3844" xr:uid="{5D115A2D-5A11-4B7F-AEC5-7CBBC037433D}"/>
    <cellStyle name="20% - Accent5 11 4" xfId="3845" xr:uid="{679B9289-0F95-475F-B14F-976E02C5BD0C}"/>
    <cellStyle name="20% - Accent5 11 5" xfId="3846" xr:uid="{D56CC4F0-5666-4616-AB2E-A07E4EC8A8F1}"/>
    <cellStyle name="20% - Accent5 11 6" xfId="3847" xr:uid="{4952FEA5-4640-47B9-AD9E-11526F46BF69}"/>
    <cellStyle name="20% - Accent5 11 7" xfId="3848" xr:uid="{46707956-18BF-4D46-8B15-DA26E0238880}"/>
    <cellStyle name="20% - Accent5 11 8" xfId="7307" xr:uid="{7D89FE53-B050-4379-A704-6E62ACD619F2}"/>
    <cellStyle name="20% - Accent5 12" xfId="398" xr:uid="{AA27FF40-E7D6-41A9-8AA5-E3B6CFE17169}"/>
    <cellStyle name="20% - Accent5 12 2" xfId="399" xr:uid="{DAA255F7-71AB-4CA1-90EB-5A907817D2F4}"/>
    <cellStyle name="20% - Accent5 12 2 2" xfId="3849" xr:uid="{89706ABD-53C5-4B20-84C1-004C2F003900}"/>
    <cellStyle name="20% - Accent5 12 2 3" xfId="7310" xr:uid="{6BA0D295-1EDC-4259-831B-0B3D375D70AC}"/>
    <cellStyle name="20% - Accent5 12 3" xfId="3850" xr:uid="{5F341CB2-54B4-45AE-AB4E-DC47AEBF1CCF}"/>
    <cellStyle name="20% - Accent5 12 4" xfId="3851" xr:uid="{8EA8E4FD-A821-4278-95D8-025F4FB1C76A}"/>
    <cellStyle name="20% - Accent5 12 5" xfId="3852" xr:uid="{818D94F4-1E2C-4C28-B854-125E060A63BF}"/>
    <cellStyle name="20% - Accent5 12 6" xfId="3853" xr:uid="{E0DC20CC-02BE-4A0A-B3A9-03FCA298E7D2}"/>
    <cellStyle name="20% - Accent5 12 7" xfId="3854" xr:uid="{A68AEC04-DA26-4240-98CE-07459003A1EB}"/>
    <cellStyle name="20% - Accent5 12 8" xfId="7309" xr:uid="{CF19F5E1-72B5-4A09-B4C7-43370AA32731}"/>
    <cellStyle name="20% - Accent5 13" xfId="400" xr:uid="{C903BDF1-BE7B-4CF3-8A36-06CD79ADF3CF}"/>
    <cellStyle name="20% - Accent5 13 2" xfId="3855" xr:uid="{3F96A12A-37E0-4BCE-B995-87E72B644B4A}"/>
    <cellStyle name="20% - Accent5 14" xfId="7720" xr:uid="{F608B326-F45B-4E89-BBCF-D56B7B6952FD}"/>
    <cellStyle name="20% - Accent5 14 2" xfId="3856" xr:uid="{468B1C27-AD0B-4ADD-8644-BAD298C4E79C}"/>
    <cellStyle name="20% - Accent5 15 2" xfId="3857" xr:uid="{E7B8950E-B3AC-4191-BC58-E74C9FAFBF5A}"/>
    <cellStyle name="20% - Accent5 16 2" xfId="3858" xr:uid="{663E4EAB-745D-4B21-8E61-AE92CE59F989}"/>
    <cellStyle name="20% - Accent5 17 2" xfId="3859" xr:uid="{64AEF1E2-8C60-46CE-8D99-38B92AAC3DEC}"/>
    <cellStyle name="20% - Accent5 18 2" xfId="3860" xr:uid="{6922BA48-5275-4D20-9999-37D60E8EE37B}"/>
    <cellStyle name="20% - Accent5 19 2" xfId="3861" xr:uid="{2BF4237B-4EAA-4E33-8BD0-9FAB2212E0D8}"/>
    <cellStyle name="20% - Accent5 2" xfId="401" xr:uid="{6FE61B44-56C7-4A93-98B8-E07665635369}"/>
    <cellStyle name="20% - Accent5 2 10" xfId="7736" xr:uid="{73DA4FE7-2D45-4BAE-95B1-5EB41890F92D}"/>
    <cellStyle name="20% - Accent5 2 2" xfId="402" xr:uid="{06CED747-347C-486A-8CA4-B4255C58E781}"/>
    <cellStyle name="20% - Accent5 2 2 2" xfId="403" xr:uid="{B94F7EF1-D6AD-463C-A34E-035BDD1DB839}"/>
    <cellStyle name="20% - Accent5 2 2 2 2" xfId="7313" xr:uid="{F5ED633E-1542-4B81-9A82-821FAD4A5BC5}"/>
    <cellStyle name="20% - Accent5 2 2 3" xfId="3414" xr:uid="{7BF314AE-A3AF-4A33-90E5-3ED628F44E35}"/>
    <cellStyle name="20% - Accent5 2 2 4" xfId="7312" xr:uid="{7B25ED21-49CC-4777-9DC0-2CAF9E911885}"/>
    <cellStyle name="20% - Accent5 2 3" xfId="404" xr:uid="{5F7A03EA-5E36-442A-B740-D37AA0D31817}"/>
    <cellStyle name="20% - Accent5 2 3 2" xfId="3464" xr:uid="{7C3F9917-747B-4C74-BA99-DBE4B9068582}"/>
    <cellStyle name="20% - Accent5 2 3 3" xfId="7314" xr:uid="{618BDC80-2009-4DBB-95D1-A828A96F02D2}"/>
    <cellStyle name="20% - Accent5 2 3 4" xfId="7768" xr:uid="{20136EFC-E1E3-4BDC-9124-06CA3C2BFAE0}"/>
    <cellStyle name="20% - Accent5 2 4" xfId="3862" xr:uid="{398AE6FF-29C7-48A0-B558-566DD8E1F61A}"/>
    <cellStyle name="20% - Accent5 2 5" xfId="3863" xr:uid="{2FA1E32B-3EF6-4E57-9078-EB84B9488700}"/>
    <cellStyle name="20% - Accent5 2 6" xfId="3864" xr:uid="{EAC01A9D-1B3A-42CF-9E55-A91AC36E9B0D}"/>
    <cellStyle name="20% - Accent5 2 7" xfId="3865" xr:uid="{9023AD42-2584-4490-AA13-DD547980AB76}"/>
    <cellStyle name="20% - Accent5 2 8" xfId="3385" xr:uid="{647E2177-A26E-4C0C-94E0-1B2038FCE5F8}"/>
    <cellStyle name="20% - Accent5 2 9" xfId="7311" xr:uid="{5128FFCE-8D2B-4467-9542-E52F236372FE}"/>
    <cellStyle name="20% - Accent5 20 2" xfId="3866" xr:uid="{32CD084A-BB6B-4365-A13B-48B0AAB9EE85}"/>
    <cellStyle name="20% - Accent5 21 2" xfId="3867" xr:uid="{98DD6C99-065E-49A5-8D21-1D10CD4CF43F}"/>
    <cellStyle name="20% - Accent5 3" xfId="405" xr:uid="{906D5BE9-6297-479D-889C-8D6E6B2F670C}"/>
    <cellStyle name="20% - Accent5 3 10" xfId="7752" xr:uid="{678A29A8-36CD-4128-B0D7-AED7AEEA21CC}"/>
    <cellStyle name="20% - Accent5 3 2" xfId="406" xr:uid="{51961745-E416-4935-ABB5-6554AD903728}"/>
    <cellStyle name="20% - Accent5 3 2 2" xfId="3868" xr:uid="{4235F8B3-147A-4673-BB7D-B0CC5A20A88F}"/>
    <cellStyle name="20% - Accent5 3 2 3" xfId="7316" xr:uid="{619E65C6-83C7-4C2D-BF9D-9680A1F0AFF4}"/>
    <cellStyle name="20% - Accent5 3 3" xfId="3869" xr:uid="{190B8EFC-B5EE-4DEB-B37E-4977CC87A948}"/>
    <cellStyle name="20% - Accent5 3 4" xfId="3870" xr:uid="{218A9351-08D7-4EBA-AF0C-004AB0325CD3}"/>
    <cellStyle name="20% - Accent5 3 5" xfId="3871" xr:uid="{1527C569-AF00-448A-9083-55E2EE0980D2}"/>
    <cellStyle name="20% - Accent5 3 6" xfId="3872" xr:uid="{D345A25C-7B48-4652-936E-155D8EF4E06E}"/>
    <cellStyle name="20% - Accent5 3 7" xfId="3873" xr:uid="{24746B6A-B44B-4A34-8925-D60E160FF8D1}"/>
    <cellStyle name="20% - Accent5 3 8" xfId="3437" xr:uid="{8E62A518-B6CD-4384-85E9-DF822A4B3BBC}"/>
    <cellStyle name="20% - Accent5 3 9" xfId="7315" xr:uid="{5AF7BAB5-8041-46F7-982D-CE7123128008}"/>
    <cellStyle name="20% - Accent5 4" xfId="407" xr:uid="{28FC5619-9488-4431-8B42-A51DD80DA548}"/>
    <cellStyle name="20% - Accent5 4 2" xfId="408" xr:uid="{F4EF77AD-9E20-4ED7-B80F-BC67884C0450}"/>
    <cellStyle name="20% - Accent5 4 2 2" xfId="3875" xr:uid="{A9C182E2-F23F-473A-8796-7AD5203487DC}"/>
    <cellStyle name="20% - Accent5 4 2 3" xfId="7318" xr:uid="{3EFE1D37-143E-41E1-B07E-7B00421C8FBF}"/>
    <cellStyle name="20% - Accent5 4 3" xfId="3876" xr:uid="{02217452-CBF4-48BD-9962-53B72780BFAD}"/>
    <cellStyle name="20% - Accent5 4 4" xfId="3877" xr:uid="{DF34BF2C-C729-437B-807D-1F437ED1D459}"/>
    <cellStyle name="20% - Accent5 4 5" xfId="3878" xr:uid="{D6540411-6186-4F3A-8443-FC355456332A}"/>
    <cellStyle name="20% - Accent5 4 6" xfId="3879" xr:uid="{A4EFDC9A-F41C-4E4D-8B16-E4F447AB7D71}"/>
    <cellStyle name="20% - Accent5 4 7" xfId="3880" xr:uid="{768D1BAF-303A-4AD6-A751-CE5C5CF5C841}"/>
    <cellStyle name="20% - Accent5 4 8" xfId="3874" xr:uid="{4AEBAB38-E98E-43D8-82E7-A24F41DD9F96}"/>
    <cellStyle name="20% - Accent5 4 9" xfId="7317" xr:uid="{2712BB66-BF04-4DE6-BE0B-189BC1A2C2FA}"/>
    <cellStyle name="20% - Accent5 5" xfId="409" xr:uid="{07531D1C-6567-41C6-BECD-2621DA38FB57}"/>
    <cellStyle name="20% - Accent5 5 2" xfId="410" xr:uid="{78DEBFDC-8226-40FA-88E4-82A3CF40DD37}"/>
    <cellStyle name="20% - Accent5 5 2 2" xfId="3882" xr:uid="{7E738165-CBA1-46B6-B62D-1699BB15447D}"/>
    <cellStyle name="20% - Accent5 5 2 3" xfId="7320" xr:uid="{5C5F80AF-44CC-42ED-9444-3741B1AD0D22}"/>
    <cellStyle name="20% - Accent5 5 3" xfId="3883" xr:uid="{B9CD43A9-5FBF-4B53-9CD2-BE80CD646E48}"/>
    <cellStyle name="20% - Accent5 5 4" xfId="3884" xr:uid="{452339F2-12E9-4E73-A4D8-FE1E031DEB65}"/>
    <cellStyle name="20% - Accent5 5 5" xfId="3885" xr:uid="{389380FF-66A3-47E6-82D2-1F55F404DD9A}"/>
    <cellStyle name="20% - Accent5 5 6" xfId="3886" xr:uid="{31466E4D-E8FB-4F8B-A170-EBFA259278D1}"/>
    <cellStyle name="20% - Accent5 5 7" xfId="3887" xr:uid="{5D52C0DB-126D-4287-AB84-03DF610E0C19}"/>
    <cellStyle name="20% - Accent5 5 8" xfId="3881" xr:uid="{2CCF6E97-B6EB-4383-B286-CCEF26F2E430}"/>
    <cellStyle name="20% - Accent5 5 9" xfId="7319" xr:uid="{A7BEEAA5-773D-4E61-ADF1-487C6EA8D1CD}"/>
    <cellStyle name="20% - Accent5 6" xfId="411" xr:uid="{7D120961-484D-475C-9E94-B97DC02B67D2}"/>
    <cellStyle name="20% - Accent5 6 2" xfId="412" xr:uid="{1110337A-EE56-4834-BCA0-A3F429C05C93}"/>
    <cellStyle name="20% - Accent5 6 2 2" xfId="3888" xr:uid="{B0FD8C5D-D70C-4321-9C04-4CB94E90978D}"/>
    <cellStyle name="20% - Accent5 6 2 3" xfId="7322" xr:uid="{25717043-7D18-4F71-A502-F724594CBB1B}"/>
    <cellStyle name="20% - Accent5 6 3" xfId="3889" xr:uid="{AA816CF9-3314-4D69-A426-17D9C08EFA85}"/>
    <cellStyle name="20% - Accent5 6 4" xfId="3890" xr:uid="{08F83A90-AABF-4A60-9504-1D803EC4D3DB}"/>
    <cellStyle name="20% - Accent5 6 5" xfId="3891" xr:uid="{FDAFAF98-B222-43A4-81DD-74FB7D7CE96B}"/>
    <cellStyle name="20% - Accent5 6 6" xfId="3892" xr:uid="{FEAE2517-CE3A-4C9C-A798-D3CD50C48278}"/>
    <cellStyle name="20% - Accent5 6 7" xfId="3893" xr:uid="{C096FE93-5B5E-4D58-944F-FD0862FE34A2}"/>
    <cellStyle name="20% - Accent5 6 8" xfId="7321" xr:uid="{12E4E4BF-E698-4756-AFB9-A890BA4ACD91}"/>
    <cellStyle name="20% - Accent5 7" xfId="413" xr:uid="{76165486-3D50-420F-AC9D-32ED14E44C5F}"/>
    <cellStyle name="20% - Accent5 7 2" xfId="414" xr:uid="{120FCC93-2BCC-41F3-BD51-947B7C3E3439}"/>
    <cellStyle name="20% - Accent5 7 2 2" xfId="3894" xr:uid="{E077BC3D-B569-467F-97A7-D62C64E992E3}"/>
    <cellStyle name="20% - Accent5 7 2 3" xfId="7324" xr:uid="{4809745C-842E-49AD-BDE4-A50BF466D4C8}"/>
    <cellStyle name="20% - Accent5 7 3" xfId="3895" xr:uid="{58BB6A66-A6D7-4119-A045-C238E6882978}"/>
    <cellStyle name="20% - Accent5 7 4" xfId="3896" xr:uid="{6AF9B7BB-3208-49D0-A83F-DC46E674A56F}"/>
    <cellStyle name="20% - Accent5 7 5" xfId="3897" xr:uid="{9871E235-9B0A-4E47-8128-24CA2906FCA7}"/>
    <cellStyle name="20% - Accent5 7 6" xfId="3898" xr:uid="{BC92942A-02A6-4AB1-B20B-8A6CEB7F65DB}"/>
    <cellStyle name="20% - Accent5 7 7" xfId="3899" xr:uid="{D18A5048-4328-47CB-8DC4-865FB6D5E1D6}"/>
    <cellStyle name="20% - Accent5 7 8" xfId="7323" xr:uid="{E79A97CE-C771-416F-8ADA-ACEBDD68DD44}"/>
    <cellStyle name="20% - Accent5 8" xfId="415" xr:uid="{5FF4CE46-54FD-4A06-B696-DB25A8AB6A47}"/>
    <cellStyle name="20% - Accent5 8 2" xfId="416" xr:uid="{E7C8FE6F-8322-4DB0-AEDB-D7BF87680308}"/>
    <cellStyle name="20% - Accent5 8 2 2" xfId="3900" xr:uid="{9D184BAA-B7A7-4D48-A798-9BB9A14C3CB0}"/>
    <cellStyle name="20% - Accent5 8 2 3" xfId="7326" xr:uid="{103F655E-90A0-4E0B-86B1-C827B8B83B52}"/>
    <cellStyle name="20% - Accent5 8 3" xfId="3901" xr:uid="{D728163C-0477-4A51-A958-3A9CF9C03E59}"/>
    <cellStyle name="20% - Accent5 8 4" xfId="3902" xr:uid="{3DCE4DD4-7603-4794-BD02-9DAD052BCCBB}"/>
    <cellStyle name="20% - Accent5 8 5" xfId="3903" xr:uid="{C5B7DBD7-83C0-4E70-9FB6-C5143E82626C}"/>
    <cellStyle name="20% - Accent5 8 6" xfId="3904" xr:uid="{12628468-4CA9-4FDE-9C80-0775C2E2AB62}"/>
    <cellStyle name="20% - Accent5 8 7" xfId="3905" xr:uid="{54539C7E-6CC8-402E-9687-66A6968A00A8}"/>
    <cellStyle name="20% - Accent5 8 8" xfId="7325" xr:uid="{604A70C7-055A-48E6-AFF1-412B2AE771A2}"/>
    <cellStyle name="20% - Accent5 9" xfId="417" xr:uid="{6B611937-C8C8-49DA-A938-AF2A22123E29}"/>
    <cellStyle name="20% - Accent5 9 2" xfId="418" xr:uid="{79F318E9-3E24-46F7-BCB0-555903E6C884}"/>
    <cellStyle name="20% - Accent5 9 2 2" xfId="3906" xr:uid="{8193E0E1-895B-4E63-A116-737F3B829A0F}"/>
    <cellStyle name="20% - Accent5 9 2 3" xfId="7328" xr:uid="{BD128F86-6724-4D57-B3E4-E930B92146B3}"/>
    <cellStyle name="20% - Accent5 9 3" xfId="3907" xr:uid="{A2CFE256-A4C9-49E6-8D5D-4AB1001A32A2}"/>
    <cellStyle name="20% - Accent5 9 4" xfId="3908" xr:uid="{829D8461-0AA8-4373-9841-C6EAB8C043E3}"/>
    <cellStyle name="20% - Accent5 9 5" xfId="3909" xr:uid="{1F933102-5558-4D25-B3A8-D09617B24082}"/>
    <cellStyle name="20% - Accent5 9 6" xfId="3910" xr:uid="{19399751-8D3C-4155-9CB3-6B7E33223696}"/>
    <cellStyle name="20% - Accent5 9 7" xfId="3911" xr:uid="{E576A526-94D7-4630-98C4-6E91111B3A18}"/>
    <cellStyle name="20% - Accent5 9 8" xfId="7327" xr:uid="{47A61FEC-FABA-4B99-8B2E-0CEE5D04D44F}"/>
    <cellStyle name="20% - Accent6 10" xfId="419" xr:uid="{C658B6E6-FEEA-41CF-AA1C-30E7E3B30AD8}"/>
    <cellStyle name="20% - Accent6 10 2" xfId="420" xr:uid="{CA61F52B-120B-4D35-9FD7-5F8489458564}"/>
    <cellStyle name="20% - Accent6 10 2 2" xfId="3912" xr:uid="{BD9BFE87-F686-4B10-A304-DC265B6A6B40}"/>
    <cellStyle name="20% - Accent6 10 2 3" xfId="7330" xr:uid="{68CCBCFA-BCEE-48E6-BE7F-6D24DBA11359}"/>
    <cellStyle name="20% - Accent6 10 3" xfId="3913" xr:uid="{483E8209-9D31-42FF-A28F-5C781F05A35A}"/>
    <cellStyle name="20% - Accent6 10 4" xfId="3914" xr:uid="{D470078A-E201-4B78-8080-068BD5E08E24}"/>
    <cellStyle name="20% - Accent6 10 5" xfId="3915" xr:uid="{874DCAAC-556A-492E-97E5-97D9AF9DF380}"/>
    <cellStyle name="20% - Accent6 10 6" xfId="3916" xr:uid="{1E15FAD2-E804-4639-8FF7-4A82DEFA2098}"/>
    <cellStyle name="20% - Accent6 10 7" xfId="3917" xr:uid="{70B19C82-0E02-4D2C-9420-FD7D44C92364}"/>
    <cellStyle name="20% - Accent6 10 8" xfId="7329" xr:uid="{4132436E-0614-44FA-970B-48A5EE9FBC39}"/>
    <cellStyle name="20% - Accent6 11" xfId="421" xr:uid="{D5B4E0D0-1600-4A5A-B241-7EFC8DAF6B98}"/>
    <cellStyle name="20% - Accent6 11 2" xfId="422" xr:uid="{B1026219-28F0-491B-8A25-30DA709C27AF}"/>
    <cellStyle name="20% - Accent6 11 2 2" xfId="3918" xr:uid="{04BF5B9C-4033-4D8F-A251-404E825D9A0A}"/>
    <cellStyle name="20% - Accent6 11 2 3" xfId="7332" xr:uid="{95898B80-E56B-4CED-9625-DB5CB5D393EB}"/>
    <cellStyle name="20% - Accent6 11 3" xfId="3919" xr:uid="{22A04B4F-4121-4F1A-8896-365744349262}"/>
    <cellStyle name="20% - Accent6 11 4" xfId="3920" xr:uid="{8A0D2615-741D-4C43-9FBC-B89F9A049D44}"/>
    <cellStyle name="20% - Accent6 11 5" xfId="3921" xr:uid="{C3274FF6-D6D5-48A0-92D7-D35FE13D3CA2}"/>
    <cellStyle name="20% - Accent6 11 6" xfId="3922" xr:uid="{84949F7D-B9EF-4048-94D9-20EFADB724B4}"/>
    <cellStyle name="20% - Accent6 11 7" xfId="3923" xr:uid="{C4D437DC-2DD0-4EA0-AF9B-3B9E8305ED08}"/>
    <cellStyle name="20% - Accent6 11 8" xfId="7331" xr:uid="{F1668203-A923-40AE-AB20-D1932C2BA9EE}"/>
    <cellStyle name="20% - Accent6 12" xfId="423" xr:uid="{79357854-EE93-4AB9-8D55-358A2533666E}"/>
    <cellStyle name="20% - Accent6 12 2" xfId="424" xr:uid="{23700679-AFA7-44E3-83F2-94A0553801A7}"/>
    <cellStyle name="20% - Accent6 12 2 2" xfId="3924" xr:uid="{DCE88A28-041B-4112-8A7A-27E19F6C1E51}"/>
    <cellStyle name="20% - Accent6 12 2 3" xfId="7334" xr:uid="{7770EE47-F587-4DB7-BA2B-1DC0A257E49D}"/>
    <cellStyle name="20% - Accent6 12 3" xfId="3925" xr:uid="{0A8A784D-1E89-475E-A517-68D8C61E9C30}"/>
    <cellStyle name="20% - Accent6 12 4" xfId="3926" xr:uid="{EE266CC3-F529-4C02-86C7-B75BE9E57158}"/>
    <cellStyle name="20% - Accent6 12 5" xfId="3927" xr:uid="{57A23329-7D92-4DC5-B047-D603C44A4995}"/>
    <cellStyle name="20% - Accent6 12 6" xfId="3928" xr:uid="{EACAAD43-AC27-4516-85F8-C53C139F5BF7}"/>
    <cellStyle name="20% - Accent6 12 7" xfId="3929" xr:uid="{8FDDE1B7-71C1-43FF-9E57-BCFC80EAE304}"/>
    <cellStyle name="20% - Accent6 12 8" xfId="7333" xr:uid="{3716A4B2-30A2-463F-9025-0521C97DC717}"/>
    <cellStyle name="20% - Accent6 13" xfId="425" xr:uid="{B2914F20-4604-4555-98E7-3C7A3EE78278}"/>
    <cellStyle name="20% - Accent6 13 2" xfId="3930" xr:uid="{46568E4E-6693-4920-9784-A0095EE134D8}"/>
    <cellStyle name="20% - Accent6 14" xfId="7722" xr:uid="{749C2AC0-D739-4A63-A043-F37E333A26A8}"/>
    <cellStyle name="20% - Accent6 14 2" xfId="3931" xr:uid="{ED6C2CAA-5F76-4362-BEDB-E500848CF5BB}"/>
    <cellStyle name="20% - Accent6 15 2" xfId="3932" xr:uid="{CB699999-AC1E-46C8-BB58-48AAAF8CDB3F}"/>
    <cellStyle name="20% - Accent6 16 2" xfId="3933" xr:uid="{B0C54AF4-F382-4892-8973-5988F03A8A0D}"/>
    <cellStyle name="20% - Accent6 17 2" xfId="3934" xr:uid="{EAEA1FF2-FC4E-4B92-B5C2-EB07B67E7DE7}"/>
    <cellStyle name="20% - Accent6 18 2" xfId="3935" xr:uid="{311FADF7-5B4D-4A6A-B455-1AB339AE4AB7}"/>
    <cellStyle name="20% - Accent6 19 2" xfId="3936" xr:uid="{F588772D-4420-458C-B15F-8D5E998A80EF}"/>
    <cellStyle name="20% - Accent6 2" xfId="426" xr:uid="{93C695C1-A433-42B4-9953-43029FB8C31A}"/>
    <cellStyle name="20% - Accent6 2 10" xfId="7738" xr:uid="{5EB2A373-7544-4211-A3F1-7952B602E4C7}"/>
    <cellStyle name="20% - Accent6 2 2" xfId="427" xr:uid="{1B9A81B9-BC33-4F99-AA8D-82B17A1FB493}"/>
    <cellStyle name="20% - Accent6 2 2 2" xfId="428" xr:uid="{717F352E-A32C-4B53-9778-337D512C53B2}"/>
    <cellStyle name="20% - Accent6 2 2 2 2" xfId="7337" xr:uid="{D0677191-2032-4E15-8141-41373946288B}"/>
    <cellStyle name="20% - Accent6 2 2 3" xfId="3422" xr:uid="{777F6718-EA79-42E5-BFCD-D91AF27D66F8}"/>
    <cellStyle name="20% - Accent6 2 2 4" xfId="7336" xr:uid="{1B849AE1-2A55-43D9-9863-7ADB75B6C089}"/>
    <cellStyle name="20% - Accent6 2 3" xfId="429" xr:uid="{DB55DE4E-B765-4B56-8AE8-DE4406DAAED6}"/>
    <cellStyle name="20% - Accent6 2 3 2" xfId="3466" xr:uid="{A586B71E-97DE-4582-A605-9F84F88BED48}"/>
    <cellStyle name="20% - Accent6 2 3 3" xfId="7338" xr:uid="{EE441C37-C586-436E-A476-6AEA7A4A413B}"/>
    <cellStyle name="20% - Accent6 2 3 4" xfId="7770" xr:uid="{2A207EC0-7FAB-4F63-89C5-431C6E12175F}"/>
    <cellStyle name="20% - Accent6 2 4" xfId="3937" xr:uid="{2D3C4133-77A8-4A6D-8A57-EC5A77939B0D}"/>
    <cellStyle name="20% - Accent6 2 5" xfId="3938" xr:uid="{98FDB8F8-ACA7-4A96-805F-EE4401BFD8A0}"/>
    <cellStyle name="20% - Accent6 2 6" xfId="3939" xr:uid="{C92C5A60-BDC7-46A3-AF64-51EAD8B984DE}"/>
    <cellStyle name="20% - Accent6 2 7" xfId="3940" xr:uid="{785C95F0-3A75-4227-81D3-EEE407FB6692}"/>
    <cellStyle name="20% - Accent6 2 8" xfId="3387" xr:uid="{08205A00-C0F3-46A0-819F-5AEBF0407E50}"/>
    <cellStyle name="20% - Accent6 2 9" xfId="7335" xr:uid="{48CD0D1C-9828-419A-9FCF-89F1AC1CCF7A}"/>
    <cellStyle name="20% - Accent6 20 2" xfId="3941" xr:uid="{7AF2BB14-B9C1-404E-9751-67FF161D11C6}"/>
    <cellStyle name="20% - Accent6 21 2" xfId="3942" xr:uid="{7D526DE4-E84A-45B8-916B-585EB09A98B6}"/>
    <cellStyle name="20% - Accent6 3" xfId="430" xr:uid="{9C1772C0-80BD-437C-8C19-3155CFFB01E6}"/>
    <cellStyle name="20% - Accent6 3 10" xfId="7756" xr:uid="{CDFD48EB-E2BE-4E3F-843C-AF1C08600839}"/>
    <cellStyle name="20% - Accent6 3 2" xfId="431" xr:uid="{78047F58-BBCF-4426-B022-6D1AA4825DA7}"/>
    <cellStyle name="20% - Accent6 3 2 2" xfId="3943" xr:uid="{30BAF326-CCFC-467B-8894-C8B5EB840533}"/>
    <cellStyle name="20% - Accent6 3 2 3" xfId="7340" xr:uid="{25BA449E-106F-4C97-87E8-1BA3FA2E2BF8}"/>
    <cellStyle name="20% - Accent6 3 3" xfId="3944" xr:uid="{85EA2B95-18BE-42F1-A474-C1760DB22A1D}"/>
    <cellStyle name="20% - Accent6 3 4" xfId="3945" xr:uid="{36E615B0-69C6-4E24-8538-FE1AF80C197F}"/>
    <cellStyle name="20% - Accent6 3 5" xfId="3946" xr:uid="{9516F9A2-67C8-4BFF-91F7-D684A236805B}"/>
    <cellStyle name="20% - Accent6 3 6" xfId="3947" xr:uid="{F75163CA-D6EA-47A0-A251-0EF1C6CAF7C4}"/>
    <cellStyle name="20% - Accent6 3 7" xfId="3948" xr:uid="{41F91A6C-79BD-4CE0-996F-BBD77323D026}"/>
    <cellStyle name="20% - Accent6 3 8" xfId="3448" xr:uid="{A559DA18-A7A4-4CBF-9852-990797107A2F}"/>
    <cellStyle name="20% - Accent6 3 9" xfId="7339" xr:uid="{AB95B702-DFE2-4DBF-BAA6-56A2B960B5EF}"/>
    <cellStyle name="20% - Accent6 4" xfId="432" xr:uid="{64409C2A-DC74-486E-B97C-131D4A593F00}"/>
    <cellStyle name="20% - Accent6 4 2" xfId="433" xr:uid="{3400CF5C-34B8-481A-A12D-B7CA97923CB1}"/>
    <cellStyle name="20% - Accent6 4 2 2" xfId="3950" xr:uid="{40AE0A03-2884-41C0-B914-3936EB0B2620}"/>
    <cellStyle name="20% - Accent6 4 2 3" xfId="7342" xr:uid="{44B40DD4-57D9-4128-9031-5BA2D9CB578C}"/>
    <cellStyle name="20% - Accent6 4 3" xfId="3951" xr:uid="{646EF7D7-1211-4297-96DC-E145CA64C220}"/>
    <cellStyle name="20% - Accent6 4 4" xfId="3952" xr:uid="{0C02C0AA-BC37-4BFF-B177-7E408E278AC1}"/>
    <cellStyle name="20% - Accent6 4 5" xfId="3953" xr:uid="{35917CEF-8FA6-45A0-9DC1-1D26D42DB219}"/>
    <cellStyle name="20% - Accent6 4 6" xfId="3954" xr:uid="{35A65ADF-E64B-4D60-910E-A9C0A5D61A08}"/>
    <cellStyle name="20% - Accent6 4 7" xfId="3955" xr:uid="{F52A4899-2FEA-4C94-A125-195EF63AE898}"/>
    <cellStyle name="20% - Accent6 4 8" xfId="3949" xr:uid="{29C967B1-D654-41CB-9A44-4AE67A25E85C}"/>
    <cellStyle name="20% - Accent6 4 9" xfId="7341" xr:uid="{C239CC4F-F3BB-439B-A5DD-7A35FEFFAF5C}"/>
    <cellStyle name="20% - Accent6 5" xfId="434" xr:uid="{0211AAAC-054F-42EF-BB73-7CB67F6C0B39}"/>
    <cellStyle name="20% - Accent6 5 2" xfId="435" xr:uid="{DBBB5744-54D0-4A5F-837D-ACF26F1EABE3}"/>
    <cellStyle name="20% - Accent6 5 2 2" xfId="3957" xr:uid="{D5C38A34-89C7-4227-9B1B-D527FC271B63}"/>
    <cellStyle name="20% - Accent6 5 2 3" xfId="7344" xr:uid="{D39A2A94-57D5-4BD8-825B-1DD60A3AEFF2}"/>
    <cellStyle name="20% - Accent6 5 3" xfId="3958" xr:uid="{B8C19D5F-7D13-47D2-B6B0-C8C335D241A1}"/>
    <cellStyle name="20% - Accent6 5 4" xfId="3959" xr:uid="{2F28FAD8-F356-44E5-BF90-7F738F14312D}"/>
    <cellStyle name="20% - Accent6 5 5" xfId="3960" xr:uid="{56BA770B-EAB8-452E-BEB5-2A26FAE1FDC6}"/>
    <cellStyle name="20% - Accent6 5 6" xfId="3961" xr:uid="{43FE491D-88D1-423B-8D69-D0E9B2F746BE}"/>
    <cellStyle name="20% - Accent6 5 7" xfId="3962" xr:uid="{FED2F3FC-DBA3-43AE-AB88-743BEB0CB7BB}"/>
    <cellStyle name="20% - Accent6 5 8" xfId="3956" xr:uid="{AB68B8FB-D420-43A1-92FE-3D5A2D1CF039}"/>
    <cellStyle name="20% - Accent6 5 9" xfId="7343" xr:uid="{9D2043C4-1475-4947-810E-F471B4812DF8}"/>
    <cellStyle name="20% - Accent6 6" xfId="436" xr:uid="{7A48EB01-BAE1-403D-97D1-4F116B80B12C}"/>
    <cellStyle name="20% - Accent6 6 2" xfId="437" xr:uid="{65353271-BCD4-4554-8ADC-3C6F3ECD5D44}"/>
    <cellStyle name="20% - Accent6 6 2 2" xfId="3963" xr:uid="{E3948C5F-81FA-4B33-8757-4ED9F8B570B4}"/>
    <cellStyle name="20% - Accent6 6 2 3" xfId="7346" xr:uid="{1B6DD27B-8E7B-4C10-B98F-D0D7D79BEF1F}"/>
    <cellStyle name="20% - Accent6 6 3" xfId="3964" xr:uid="{25612579-34E3-4E32-A60B-69090D873A86}"/>
    <cellStyle name="20% - Accent6 6 4" xfId="3965" xr:uid="{E14CFF48-5406-41FB-AB3E-0FA8F120CAC0}"/>
    <cellStyle name="20% - Accent6 6 5" xfId="3966" xr:uid="{D3DF6A15-A051-4BC9-9226-3ABA27AD1EF8}"/>
    <cellStyle name="20% - Accent6 6 6" xfId="3967" xr:uid="{289E4914-1903-41FA-ABEB-0F93CC03DC39}"/>
    <cellStyle name="20% - Accent6 6 7" xfId="3968" xr:uid="{A7AFC314-BC38-45FB-BEC8-8932F8543CA8}"/>
    <cellStyle name="20% - Accent6 6 8" xfId="7345" xr:uid="{095471C7-9E2E-4AFE-8788-A2BAA35421CB}"/>
    <cellStyle name="20% - Accent6 7" xfId="438" xr:uid="{EE14EBCA-5BBE-4AE9-9823-E4050716FBD1}"/>
    <cellStyle name="20% - Accent6 7 2" xfId="439" xr:uid="{4E394358-76A1-49FC-A137-ECFC5F535302}"/>
    <cellStyle name="20% - Accent6 7 2 2" xfId="3969" xr:uid="{AFCFA117-B582-45B8-9AAB-8E2C5D89FF6C}"/>
    <cellStyle name="20% - Accent6 7 2 3" xfId="7348" xr:uid="{0641F7DB-F06C-46D9-844E-3168894834D0}"/>
    <cellStyle name="20% - Accent6 7 3" xfId="3970" xr:uid="{AACA2DBB-9459-42B7-A0AC-DC24117DE0A3}"/>
    <cellStyle name="20% - Accent6 7 4" xfId="3971" xr:uid="{D0F34FE3-4BE4-4250-AD51-1575B5FDEFF3}"/>
    <cellStyle name="20% - Accent6 7 5" xfId="3972" xr:uid="{DDEA5244-E908-4680-ACB4-0AA8D6F36A3E}"/>
    <cellStyle name="20% - Accent6 7 6" xfId="3973" xr:uid="{B2B03004-04DA-472F-8E24-EDCF50CB28C8}"/>
    <cellStyle name="20% - Accent6 7 7" xfId="3974" xr:uid="{3B10B4C1-B943-4475-A3F1-9A643BFC9A3D}"/>
    <cellStyle name="20% - Accent6 7 8" xfId="7347" xr:uid="{9A19FE3A-3614-44C2-9B83-229AA2105F69}"/>
    <cellStyle name="20% - Accent6 8" xfId="440" xr:uid="{14673748-8E5E-4EC4-B417-3B4B7B6570B6}"/>
    <cellStyle name="20% - Accent6 8 2" xfId="441" xr:uid="{F2BB3AF8-0B3E-42AA-91F8-13F3AA16ADB5}"/>
    <cellStyle name="20% - Accent6 8 2 2" xfId="3975" xr:uid="{9C1BFD11-DDC3-4EEB-B753-FE7DC4633F90}"/>
    <cellStyle name="20% - Accent6 8 2 3" xfId="7350" xr:uid="{45DCB8ED-314B-4B64-A078-CB24DCCCFAE9}"/>
    <cellStyle name="20% - Accent6 8 3" xfId="3976" xr:uid="{17CA8854-1CF8-406E-8D3D-48B6D694E3AE}"/>
    <cellStyle name="20% - Accent6 8 4" xfId="3977" xr:uid="{8FFDC489-E197-4B30-9984-9A34D3284020}"/>
    <cellStyle name="20% - Accent6 8 5" xfId="3978" xr:uid="{0790DDB5-C75F-447D-8652-730ADC1B2C97}"/>
    <cellStyle name="20% - Accent6 8 6" xfId="3979" xr:uid="{101CACAC-FC20-4741-8BB1-1E548FEC334C}"/>
    <cellStyle name="20% - Accent6 8 7" xfId="3980" xr:uid="{1BCB7F23-741A-42E8-BD27-EB05D3A99146}"/>
    <cellStyle name="20% - Accent6 8 8" xfId="7349" xr:uid="{06D5285A-CD78-4C16-A2EA-DADB25D1006A}"/>
    <cellStyle name="20% - Accent6 9" xfId="442" xr:uid="{CBF3714A-7EA0-451F-813B-84C8E083D337}"/>
    <cellStyle name="20% - Accent6 9 2" xfId="443" xr:uid="{C2898257-6519-4432-9ECC-6F580002E677}"/>
    <cellStyle name="20% - Accent6 9 2 2" xfId="3981" xr:uid="{8DA1CA08-62E1-452D-9D16-7BD6A5C44156}"/>
    <cellStyle name="20% - Accent6 9 2 3" xfId="7352" xr:uid="{82D3BB5B-E48A-440E-BD44-1D187C2966F1}"/>
    <cellStyle name="20% - Accent6 9 3" xfId="3982" xr:uid="{D5FB013C-0760-48DD-A739-1EEB9F596C5B}"/>
    <cellStyle name="20% - Accent6 9 4" xfId="3983" xr:uid="{32DA13B0-E647-4F92-9FDE-4A58D79CFF7A}"/>
    <cellStyle name="20% - Accent6 9 5" xfId="3984" xr:uid="{35E9218E-2072-4563-B59C-A938EECC30F2}"/>
    <cellStyle name="20% - Accent6 9 6" xfId="3985" xr:uid="{D3D57E2A-FDC5-4A3E-A16C-430196F0E9D2}"/>
    <cellStyle name="20% - Accent6 9 7" xfId="3986" xr:uid="{AE711DAA-C4E6-468F-BEA7-F301EC90FE18}"/>
    <cellStyle name="20% - Accent6 9 8" xfId="7351" xr:uid="{4173912D-2722-46D2-92D7-FCD2A69AD073}"/>
    <cellStyle name="20% — akcent 1 2" xfId="3279" xr:uid="{819EB52D-3C40-4507-A428-7EDD2C8B13CF}"/>
    <cellStyle name="20% — akcent 2 2" xfId="3283" xr:uid="{9E767B4C-BB1F-45DA-A89F-6F192BDA3DFE}"/>
    <cellStyle name="20% — akcent 3 2" xfId="3287" xr:uid="{A16A5EF4-3EBD-4B99-8115-9F1D994FE6AB}"/>
    <cellStyle name="20% — akcent 4 2" xfId="3291" xr:uid="{6162CFC6-40AF-42DD-B08E-CC5EBB751E8D}"/>
    <cellStyle name="20% — akcent 5 2" xfId="3295" xr:uid="{152C40E8-6206-439A-AC89-F56D57EA26F5}"/>
    <cellStyle name="20% — akcent 6 2" xfId="3299" xr:uid="{425D444F-0BE5-4DEA-B0E5-0B2123404F34}"/>
    <cellStyle name="40% - Accent1 10" xfId="444" xr:uid="{A6D16260-FE7E-4FB0-B1B4-7FBA66149820}"/>
    <cellStyle name="40% - Accent1 10 2" xfId="445" xr:uid="{991DA626-4600-4A72-9E98-E1E3AA911B8E}"/>
    <cellStyle name="40% - Accent1 10 2 2" xfId="446" xr:uid="{2ECC5CE8-3548-4D80-9C5E-1349666EDD04}"/>
    <cellStyle name="40% - Accent1 10 2 2 2" xfId="7354" xr:uid="{6D0A59AF-FF23-4EA2-965F-34717C0B1C7C}"/>
    <cellStyle name="40% - Accent1 10 2 3" xfId="447" xr:uid="{D937836C-5BE5-4332-B36C-3FB64D362F26}"/>
    <cellStyle name="40% - Accent1 10 2 3 2" xfId="7355" xr:uid="{427F089A-FCBA-4D3D-9603-DA6295F7FB7E}"/>
    <cellStyle name="40% - Accent1 10 2 4" xfId="3987" xr:uid="{1B99A7CA-FCEB-4A36-8769-A53377DE6814}"/>
    <cellStyle name="40% - Accent1 10 2 5" xfId="7353" xr:uid="{805B957F-E440-4CDA-9A09-8820C1FE28C5}"/>
    <cellStyle name="40% - Accent1 10 3" xfId="448" xr:uid="{DFEDFDA6-EFB3-49DA-94C5-25F09F5B7571}"/>
    <cellStyle name="40% - Accent1 10 3 2" xfId="3988" xr:uid="{46438E3E-CDE9-4BAB-ABF7-6AFD6BE766C6}"/>
    <cellStyle name="40% - Accent1 10 4" xfId="3989" xr:uid="{AB42ADCD-5944-40F7-9CA2-CA81001F4C9D}"/>
    <cellStyle name="40% - Accent1 10 5" xfId="3990" xr:uid="{FF7041C0-9472-46A8-A519-5A45D59A0FB0}"/>
    <cellStyle name="40% - Accent1 10 6" xfId="3991" xr:uid="{CB8D7DAD-2F64-4B89-B4D3-CE3699D2D687}"/>
    <cellStyle name="40% - Accent1 10 7" xfId="3992" xr:uid="{F421D3EA-E28E-45AA-917B-E558EB726333}"/>
    <cellStyle name="40% - Accent1 11" xfId="449" xr:uid="{733305B6-BE59-4772-BD3C-DEF68E2BEAEA}"/>
    <cellStyle name="40% - Accent1 11 2" xfId="450" xr:uid="{C80552CF-82F4-427F-A319-DBCF76653DD2}"/>
    <cellStyle name="40% - Accent1 11 2 2" xfId="451" xr:uid="{2491484F-F202-4321-BA77-FF3A6F135305}"/>
    <cellStyle name="40% - Accent1 11 2 2 2" xfId="7357" xr:uid="{B281D2BD-92F9-46D5-8179-F746F70DAE33}"/>
    <cellStyle name="40% - Accent1 11 2 3" xfId="452" xr:uid="{F86D521D-E5EC-4F54-A389-E7A2D9BFAC85}"/>
    <cellStyle name="40% - Accent1 11 2 3 2" xfId="7358" xr:uid="{7375DB34-F825-44BB-95C2-DDC9C6C1A67D}"/>
    <cellStyle name="40% - Accent1 11 2 4" xfId="3993" xr:uid="{23BA1D91-153F-46CF-967D-327D03A0AF2E}"/>
    <cellStyle name="40% - Accent1 11 2 5" xfId="7356" xr:uid="{033F08AD-C852-42B8-A05E-021BDFD5CC82}"/>
    <cellStyle name="40% - Accent1 11 3" xfId="453" xr:uid="{CB91A73D-55F7-48F0-A30F-B822F5F3FB8F}"/>
    <cellStyle name="40% - Accent1 11 3 2" xfId="3994" xr:uid="{BE8CDEE4-728D-4518-BEC7-DFBDDE8DD510}"/>
    <cellStyle name="40% - Accent1 11 4" xfId="3995" xr:uid="{F431A7C0-99D1-4300-98A2-1094FD8F192C}"/>
    <cellStyle name="40% - Accent1 11 5" xfId="3996" xr:uid="{EAF1D14D-7F93-479C-A9AC-21C515CC859C}"/>
    <cellStyle name="40% - Accent1 11 6" xfId="3997" xr:uid="{BD73A85B-22B7-4A4B-BAD4-81FBCC3F44DC}"/>
    <cellStyle name="40% - Accent1 11 7" xfId="3998" xr:uid="{31152F32-59A0-49FE-B7E4-ABF85689EE6B}"/>
    <cellStyle name="40% - Accent1 12" xfId="454" xr:uid="{4A84E84E-73C6-4AAC-B2EC-08907B76657E}"/>
    <cellStyle name="40% - Accent1 12 2" xfId="455" xr:uid="{3BB64497-58F1-4DD8-82D5-401D8A07793E}"/>
    <cellStyle name="40% - Accent1 12 2 2" xfId="456" xr:uid="{4A1AEFE3-684D-4C99-AAD5-A18846BB888E}"/>
    <cellStyle name="40% - Accent1 12 2 2 2" xfId="7360" xr:uid="{A875C116-E2F2-4E65-88AE-4F82864A1E9C}"/>
    <cellStyle name="40% - Accent1 12 2 3" xfId="457" xr:uid="{99A5DA18-4663-496B-9081-E9590640939C}"/>
    <cellStyle name="40% - Accent1 12 2 3 2" xfId="7361" xr:uid="{E30B31C7-29D2-49F4-96DE-90164698DFEB}"/>
    <cellStyle name="40% - Accent1 12 2 4" xfId="3999" xr:uid="{C37760F5-17CC-43FE-A01D-02ED030DEB23}"/>
    <cellStyle name="40% - Accent1 12 2 5" xfId="7359" xr:uid="{0576051C-4B69-4B33-A036-A7C740EBB4F5}"/>
    <cellStyle name="40% - Accent1 12 3" xfId="458" xr:uid="{9FA6FDED-746F-4C7D-A61E-0B574A9C175C}"/>
    <cellStyle name="40% - Accent1 12 3 2" xfId="4000" xr:uid="{D046115E-E847-41D6-87FB-9D8321B3025C}"/>
    <cellStyle name="40% - Accent1 12 4" xfId="4001" xr:uid="{2B813923-FC58-429D-93A2-A898836E7AA2}"/>
    <cellStyle name="40% - Accent1 12 5" xfId="4002" xr:uid="{D5737FAE-AD70-4790-8451-74885912E292}"/>
    <cellStyle name="40% - Accent1 12 6" xfId="4003" xr:uid="{AE1B6C26-C8EC-4B0A-A270-96384BD6B590}"/>
    <cellStyle name="40% - Accent1 12 7" xfId="4004" xr:uid="{8F90EE07-7731-43F9-B42B-183F780570F2}"/>
    <cellStyle name="40% - Accent1 13" xfId="459" xr:uid="{8D8D4AE2-4E00-45A6-9792-C2450BAC9F19}"/>
    <cellStyle name="40% - Accent1 13 2" xfId="460" xr:uid="{9FFBA4A3-DFB3-4793-B4C4-6E4936E63212}"/>
    <cellStyle name="40% - Accent1 13 2 2" xfId="4005" xr:uid="{473567C8-C46C-446F-8962-A33286F85692}"/>
    <cellStyle name="40% - Accent1 14" xfId="461" xr:uid="{304C266A-0937-4D2E-8C34-00C5E7321634}"/>
    <cellStyle name="40% - Accent1 14 2" xfId="462" xr:uid="{55FAD859-CB62-4CA5-9169-A6153AD1F23B}"/>
    <cellStyle name="40% - Accent1 14 2 2" xfId="4006" xr:uid="{D95D3B46-ED8E-4D02-A480-DB5FCEE257D1}"/>
    <cellStyle name="40% - Accent1 15" xfId="463" xr:uid="{0BECA858-201D-42FC-B48F-B9231E0C37EB}"/>
    <cellStyle name="40% - Accent1 15 2" xfId="464" xr:uid="{962FC152-2EA3-4DED-B44A-F0B9161C9CE8}"/>
    <cellStyle name="40% - Accent1 15 2 2" xfId="4007" xr:uid="{BE3B01FA-79CC-483A-ADE6-232F953DA610}"/>
    <cellStyle name="40% - Accent1 16" xfId="465" xr:uid="{16928D1E-957A-4305-8FBD-A14E37750F27}"/>
    <cellStyle name="40% - Accent1 16 2" xfId="466" xr:uid="{899F8F21-6460-4088-856C-12CE3CA1C57D}"/>
    <cellStyle name="40% - Accent1 16 2 2" xfId="4008" xr:uid="{4966F6E9-BC99-4A48-9317-D2DADEB49E7D}"/>
    <cellStyle name="40% - Accent1 17" xfId="467" xr:uid="{029EB9EA-1570-44C4-AFF2-47F391A981FF}"/>
    <cellStyle name="40% - Accent1 17 2" xfId="468" xr:uid="{78948DED-6154-4421-875C-83AA8FE97B21}"/>
    <cellStyle name="40% - Accent1 17 2 2" xfId="4009" xr:uid="{DF7B1A45-FCD4-4781-A23A-AB08370DB8CC}"/>
    <cellStyle name="40% - Accent1 18" xfId="469" xr:uid="{87392A56-9A0E-4934-AF3D-E1D657C20E7C}"/>
    <cellStyle name="40% - Accent1 18 2" xfId="470" xr:uid="{62C4FE11-F88A-4DD0-BB4A-2A7DA5F1E846}"/>
    <cellStyle name="40% - Accent1 18 2 2" xfId="4010" xr:uid="{7D1F105C-C397-4AB9-B6D8-D5925A4B3CEC}"/>
    <cellStyle name="40% - Accent1 19" xfId="471" xr:uid="{DE099749-CBD0-415C-AA42-B5F9FD5B06AB}"/>
    <cellStyle name="40% - Accent1 19 2" xfId="472" xr:uid="{049E75E4-ECB4-412D-96A8-F86556D974F0}"/>
    <cellStyle name="40% - Accent1 19 2 2" xfId="4011" xr:uid="{DB6D31AF-2508-4696-B6CC-79923FC526F9}"/>
    <cellStyle name="40% - Accent1 2" xfId="473" xr:uid="{3299C15D-8932-4937-9273-A6E362A45968}"/>
    <cellStyle name="40% - Accent1 2 2" xfId="474" xr:uid="{903C1E2B-92DA-4ADE-8DC4-A00000DA92BD}"/>
    <cellStyle name="40% - Accent1 2 2 2" xfId="475" xr:uid="{9D736EF9-D2C5-424B-A7BB-B69BA9A63DE4}"/>
    <cellStyle name="40% - Accent1 2 2 2 2" xfId="476" xr:uid="{EF36AB01-7DBD-433B-A8E7-7A8DBEB67F60}"/>
    <cellStyle name="40% - Accent1 2 2 2 2 2" xfId="7364" xr:uid="{53DBEB8B-13F5-4D5C-AB6A-E0CBF9CAC514}"/>
    <cellStyle name="40% - Accent1 2 2 2 3" xfId="477" xr:uid="{56164963-6C06-46C3-90C8-0771ABFA5A23}"/>
    <cellStyle name="40% - Accent1 2 2 2 3 2" xfId="7365" xr:uid="{EB36D09E-7B36-43A3-AFD6-07AACA41A19D}"/>
    <cellStyle name="40% - Accent1 2 2 2 4" xfId="7363" xr:uid="{AD8EC7CC-2E75-475C-A59E-49E4997B4428}"/>
    <cellStyle name="40% - Accent1 2 2 3" xfId="478" xr:uid="{843D43BD-C7DD-43A7-82D1-524E99E4DA64}"/>
    <cellStyle name="40% - Accent1 2 2 3 2" xfId="7366" xr:uid="{83A2BF0E-1FE6-4C66-BC31-730E523B58D4}"/>
    <cellStyle name="40% - Accent1 2 2 4" xfId="479" xr:uid="{95B0AF3D-416C-493B-9456-04DF4502F9B2}"/>
    <cellStyle name="40% - Accent1 2 2 4 2" xfId="7367" xr:uid="{AFB329E4-4D65-49B5-A4C1-A7AA9BF19E05}"/>
    <cellStyle name="40% - Accent1 2 2 5" xfId="3413" xr:uid="{9B5336AF-F2A4-40E7-931E-FF1987649C68}"/>
    <cellStyle name="40% - Accent1 2 2 6" xfId="7362" xr:uid="{13DFCEF2-5248-496D-93A5-3C4DCE72925B}"/>
    <cellStyle name="40% - Accent1 2 3" xfId="480" xr:uid="{E74DCAA8-CF5B-4BAD-B16A-F9E6E1EE4E25}"/>
    <cellStyle name="40% - Accent1 2 3 2" xfId="3457" xr:uid="{30A6AB73-BE1B-4102-BC9F-64BB8E09100D}"/>
    <cellStyle name="40% - Accent1 2 3 3" xfId="7761" xr:uid="{FEE966DB-80A9-468C-98CE-BA36CDA94CA2}"/>
    <cellStyle name="40% - Accent1 2 4" xfId="4012" xr:uid="{893948AC-85DC-4FA6-A06B-44BC85C63D24}"/>
    <cellStyle name="40% - Accent1 2 5" xfId="4013" xr:uid="{5A828B53-502E-47AC-9485-6F8A4AB9129C}"/>
    <cellStyle name="40% - Accent1 2 6" xfId="4014" xr:uid="{397B0060-B3B9-45C3-98D0-1676A5294D22}"/>
    <cellStyle name="40% - Accent1 2 7" xfId="4015" xr:uid="{42B10CB9-8316-4DDB-8C24-E8995829FA93}"/>
    <cellStyle name="40% - Accent1 2 8" xfId="3378" xr:uid="{EA5A7DDE-6A78-4ECE-9C4D-D52DC5039D74}"/>
    <cellStyle name="40% - Accent1 2 9" xfId="7729" xr:uid="{451A5B12-8071-4B05-B0A8-9D1BF773FD9B}"/>
    <cellStyle name="40% - Accent1 20" xfId="481" xr:uid="{72AB99DA-0C09-4795-9696-EEDEE25AF76E}"/>
    <cellStyle name="40% - Accent1 20 2" xfId="482" xr:uid="{4A7B1183-B8E4-4EAD-BEED-F71F187B1C31}"/>
    <cellStyle name="40% - Accent1 20 2 2" xfId="4016" xr:uid="{87685274-54F5-4CA3-9D45-CBDBFA8AC86C}"/>
    <cellStyle name="40% - Accent1 21" xfId="483" xr:uid="{E25B70CF-61A7-4DF3-AA9D-F4A665BB9C44}"/>
    <cellStyle name="40% - Accent1 21 2" xfId="484" xr:uid="{1D21605D-A149-4398-9A90-6A91BDEEB167}"/>
    <cellStyle name="40% - Accent1 21 2 2" xfId="4017" xr:uid="{7C3E45B3-446E-4AD6-9535-AFB765AED8DE}"/>
    <cellStyle name="40% - Accent1 22" xfId="485" xr:uid="{DD402883-7CF0-4989-8673-717CB654DEE6}"/>
    <cellStyle name="40% - Accent1 22 2" xfId="486" xr:uid="{596A02FA-A56D-46D1-A43B-0E3F4D1C8BFB}"/>
    <cellStyle name="40% - Accent1 23" xfId="487" xr:uid="{4B74474C-674E-40C7-9FCD-FDBBB95E7CD2}"/>
    <cellStyle name="40% - Accent1 23 2" xfId="488" xr:uid="{EE57C532-EBB0-4231-83B3-48F6F144BBA4}"/>
    <cellStyle name="40% - Accent1 24" xfId="489" xr:uid="{B1F96203-267D-4AC0-AC5E-8F15D6228D34}"/>
    <cellStyle name="40% - Accent1 24 2" xfId="490" xr:uid="{379589B0-CACE-4CCE-BB15-9B9068D79F55}"/>
    <cellStyle name="40% - Accent1 25" xfId="491" xr:uid="{31C679E9-C4F8-4BE6-AD21-FDB227BF0B93}"/>
    <cellStyle name="40% - Accent1 26" xfId="492" xr:uid="{80C92FAF-9BD4-4ACC-A09F-CEF42FA7B0A8}"/>
    <cellStyle name="40% - Accent1 26 2" xfId="7368" xr:uid="{DBCC45C2-1FE4-46BA-8378-461C833AC78C}"/>
    <cellStyle name="40% - Accent1 27" xfId="7713" xr:uid="{C1149D00-F075-4E81-96DF-DE76096A85B5}"/>
    <cellStyle name="40% - Accent1 3" xfId="493" xr:uid="{0C0D8C96-C04C-49A5-8F0A-0F4094A89161}"/>
    <cellStyle name="40% - Accent1 3 2" xfId="494" xr:uid="{7824DBD9-E8F9-43B5-8CC7-F0F63945D339}"/>
    <cellStyle name="40% - Accent1 3 2 2" xfId="495" xr:uid="{D8EDECFA-0A4E-4F04-A0AA-3E96D5BCB1B7}"/>
    <cellStyle name="40% - Accent1 3 2 2 2" xfId="7370" xr:uid="{8B849BB1-6383-486F-8E12-D36825F75C1C}"/>
    <cellStyle name="40% - Accent1 3 2 3" xfId="496" xr:uid="{49F1479D-F0C2-4BF8-B21A-95C450D79068}"/>
    <cellStyle name="40% - Accent1 3 2 3 2" xfId="7371" xr:uid="{F7951C11-484C-47F5-87AB-D7062D9D8F63}"/>
    <cellStyle name="40% - Accent1 3 2 4" xfId="4018" xr:uid="{BB242E8D-BC7D-41E0-B0D6-ABD32D3C38B6}"/>
    <cellStyle name="40% - Accent1 3 2 5" xfId="7369" xr:uid="{65ADAB91-7557-48B7-AB22-A4D9CD6F6CA4}"/>
    <cellStyle name="40% - Accent1 3 3" xfId="497" xr:uid="{C9DDD2F9-2311-4DA0-86C7-A97C3CAEBE62}"/>
    <cellStyle name="40% - Accent1 3 3 2" xfId="4019" xr:uid="{C49ED74F-FEAB-4FD4-A26C-EBFBF472C9E4}"/>
    <cellStyle name="40% - Accent1 3 4" xfId="4020" xr:uid="{EF0F24CA-1621-4411-B449-4CC8AC5C6812}"/>
    <cellStyle name="40% - Accent1 3 5" xfId="4021" xr:uid="{288A7756-7474-4D25-AF8A-6616838A20A5}"/>
    <cellStyle name="40% - Accent1 3 6" xfId="4022" xr:uid="{AFF76A7D-EB25-4F41-AB87-ADAF925BBFC5}"/>
    <cellStyle name="40% - Accent1 3 7" xfId="4023" xr:uid="{FB260022-6BBB-47E8-B303-841F91A56B65}"/>
    <cellStyle name="40% - Accent1 3 8" xfId="3392" xr:uid="{89EE8456-DF54-48E0-92DC-7632372D5E2D}"/>
    <cellStyle name="40% - Accent1 3 9" xfId="7742" xr:uid="{4999A5BB-53F7-41FD-B856-7C2497723803}"/>
    <cellStyle name="40% - Accent1 4" xfId="498" xr:uid="{B9A9B3A6-2F5B-46A7-9BC4-E569E74F27BC}"/>
    <cellStyle name="40% - Accent1 4 2" xfId="499" xr:uid="{6B24F6F9-F600-43E1-853E-F380A058B54D}"/>
    <cellStyle name="40% - Accent1 4 2 2" xfId="500" xr:uid="{0581A06B-34FD-4C23-B029-3C8F9A85448F}"/>
    <cellStyle name="40% - Accent1 4 2 2 2" xfId="7373" xr:uid="{B4F7365D-BB5D-4864-BC18-EFDD2860BD75}"/>
    <cellStyle name="40% - Accent1 4 2 3" xfId="501" xr:uid="{A4C414BD-85D8-4913-9FF2-C0D9E41D1BE9}"/>
    <cellStyle name="40% - Accent1 4 2 3 2" xfId="7374" xr:uid="{804C2E9F-3793-4A36-9E96-2998CEE8657B}"/>
    <cellStyle name="40% - Accent1 4 2 4" xfId="4025" xr:uid="{0A8E5DD9-6B05-4043-ADCD-F0A94F87E537}"/>
    <cellStyle name="40% - Accent1 4 2 5" xfId="7372" xr:uid="{884B4DB9-B902-4EC3-9C2B-113395407A15}"/>
    <cellStyle name="40% - Accent1 4 3" xfId="502" xr:uid="{B6EBD576-725F-40EE-B0D6-70416845C4F8}"/>
    <cellStyle name="40% - Accent1 4 3 2" xfId="4026" xr:uid="{74CF74D8-3E9D-4126-B328-C256F86E7664}"/>
    <cellStyle name="40% - Accent1 4 4" xfId="4027" xr:uid="{5B927B28-CEF7-4304-8168-3E2868247802}"/>
    <cellStyle name="40% - Accent1 4 5" xfId="4028" xr:uid="{06896C6E-1C68-4D05-8522-FBD71EDB0966}"/>
    <cellStyle name="40% - Accent1 4 6" xfId="4029" xr:uid="{B444AE0D-4E3D-4FC1-983F-9EFE8A6B61D3}"/>
    <cellStyle name="40% - Accent1 4 7" xfId="4030" xr:uid="{36D05A77-81B4-49E4-A46F-66FF65CC206B}"/>
    <cellStyle name="40% - Accent1 4 8" xfId="4024" xr:uid="{5496BF8D-B94D-4CB6-8DA3-839B0C00F3CD}"/>
    <cellStyle name="40% - Accent1 5" xfId="503" xr:uid="{3F2D73C5-1F1E-4BD1-933C-D97DB13FB039}"/>
    <cellStyle name="40% - Accent1 5 2" xfId="504" xr:uid="{9C4D4564-0717-4E72-94B3-31E88C61CBEB}"/>
    <cellStyle name="40% - Accent1 5 2 2" xfId="505" xr:uid="{15333EF0-4929-42DD-85CC-D3733EBE8080}"/>
    <cellStyle name="40% - Accent1 5 2 2 2" xfId="7376" xr:uid="{51D8EEF2-32AE-4CA5-8EE7-D3E5AF32EBC1}"/>
    <cellStyle name="40% - Accent1 5 2 3" xfId="506" xr:uid="{F80F6201-BC8E-4207-9EA7-FEFD191E64CF}"/>
    <cellStyle name="40% - Accent1 5 2 3 2" xfId="7377" xr:uid="{BC6FC7F2-E6AE-432A-8FC1-AC13BB1CE4AC}"/>
    <cellStyle name="40% - Accent1 5 2 4" xfId="4032" xr:uid="{7DB4C462-8645-4BA2-87A4-94F31C3C1604}"/>
    <cellStyle name="40% - Accent1 5 2 5" xfId="7375" xr:uid="{A7372876-231E-406D-9CBE-C821A49C5C84}"/>
    <cellStyle name="40% - Accent1 5 3" xfId="507" xr:uid="{E9A8B2EE-6869-49B4-9B24-111CAF7C0D73}"/>
    <cellStyle name="40% - Accent1 5 3 2" xfId="4033" xr:uid="{523E42E5-C1E3-46ED-892F-D8073A1A58AB}"/>
    <cellStyle name="40% - Accent1 5 4" xfId="4034" xr:uid="{423F5DFD-5903-4DDB-BCDA-A3153E09A2EC}"/>
    <cellStyle name="40% - Accent1 5 5" xfId="4035" xr:uid="{C2B9FADB-6190-4F57-BF63-2DBC2CF6F7A9}"/>
    <cellStyle name="40% - Accent1 5 6" xfId="4036" xr:uid="{2C58FC59-5C8E-4EF4-93A2-36C27972339B}"/>
    <cellStyle name="40% - Accent1 5 7" xfId="4037" xr:uid="{48D58E9B-7D9E-4F39-8203-B5E819A8FB89}"/>
    <cellStyle name="40% - Accent1 5 8" xfId="4031" xr:uid="{F92A0371-FB2B-478F-902A-C1A020769D4F}"/>
    <cellStyle name="40% - Accent1 6" xfId="508" xr:uid="{CA0489DE-ED7E-477D-8828-AF83194F58F9}"/>
    <cellStyle name="40% - Accent1 6 2" xfId="509" xr:uid="{9673EC6B-AD18-4583-9199-7146F9022F79}"/>
    <cellStyle name="40% - Accent1 6 2 2" xfId="510" xr:uid="{371D84F1-6676-4B8A-A010-7B81590AEAAB}"/>
    <cellStyle name="40% - Accent1 6 2 2 2" xfId="7379" xr:uid="{D51ADDB4-15E3-4269-ACB0-92A3B389C371}"/>
    <cellStyle name="40% - Accent1 6 2 3" xfId="511" xr:uid="{8CE2F3F2-3BBC-45AD-9669-13FBC379C129}"/>
    <cellStyle name="40% - Accent1 6 2 3 2" xfId="7380" xr:uid="{1C858A06-0E87-4197-A0E7-733E36AEF2CE}"/>
    <cellStyle name="40% - Accent1 6 2 4" xfId="4038" xr:uid="{3F8AFA45-136B-4A94-BB13-9A7E3BB82C5D}"/>
    <cellStyle name="40% - Accent1 6 2 5" xfId="7378" xr:uid="{6C926D7C-7304-412F-93A0-9594B33EDF49}"/>
    <cellStyle name="40% - Accent1 6 3" xfId="512" xr:uid="{0227C01F-498D-441B-BB88-69313FE08698}"/>
    <cellStyle name="40% - Accent1 6 3 2" xfId="4039" xr:uid="{42162038-0B59-4F0F-8063-7861FC9FB93F}"/>
    <cellStyle name="40% - Accent1 6 4" xfId="4040" xr:uid="{CE939184-07EF-4873-A2E9-342BCC6DD0A3}"/>
    <cellStyle name="40% - Accent1 6 5" xfId="4041" xr:uid="{4FE89246-461C-4EB9-9FCE-24ADB4062029}"/>
    <cellStyle name="40% - Accent1 6 6" xfId="4042" xr:uid="{33F0BB18-B5A6-4EDB-B15E-068AEF9DAD19}"/>
    <cellStyle name="40% - Accent1 6 7" xfId="4043" xr:uid="{81203F81-3A43-4210-B5BB-579EADD94ECE}"/>
    <cellStyle name="40% - Accent1 7" xfId="513" xr:uid="{A745AA2D-A7A8-4ED7-B4F3-10E1C8E11A53}"/>
    <cellStyle name="40% - Accent1 7 2" xfId="514" xr:uid="{F1E020B3-75C2-4188-BB72-B451E279063D}"/>
    <cellStyle name="40% - Accent1 7 2 2" xfId="515" xr:uid="{6AE950D7-FE7C-41EA-A5EA-E0CC9360F337}"/>
    <cellStyle name="40% - Accent1 7 2 2 2" xfId="7382" xr:uid="{A0B1E481-DB2E-490A-8FCC-50AE2F319882}"/>
    <cellStyle name="40% - Accent1 7 2 3" xfId="516" xr:uid="{1CC44FA5-2C06-4840-93DC-F466580A3E48}"/>
    <cellStyle name="40% - Accent1 7 2 3 2" xfId="7383" xr:uid="{8E9C2F55-A1E9-4793-AFA5-A343D02588A7}"/>
    <cellStyle name="40% - Accent1 7 2 4" xfId="4044" xr:uid="{9D7F1C35-2D40-47C4-8365-69FFE5034123}"/>
    <cellStyle name="40% - Accent1 7 2 5" xfId="7381" xr:uid="{FE8EA036-404A-459B-9DCF-606B1EDA3E9B}"/>
    <cellStyle name="40% - Accent1 7 3" xfId="517" xr:uid="{FF742724-A138-4407-A5CE-1A3FFAFD5270}"/>
    <cellStyle name="40% - Accent1 7 3 2" xfId="4045" xr:uid="{EE39DE97-80B1-4C3F-B3EC-9AAFA0D2673E}"/>
    <cellStyle name="40% - Accent1 7 4" xfId="4046" xr:uid="{5739AB2A-F303-45DF-9501-E1B578204011}"/>
    <cellStyle name="40% - Accent1 7 5" xfId="4047" xr:uid="{95EE0623-DFFE-4886-90EB-307BCC3BBE52}"/>
    <cellStyle name="40% - Accent1 7 6" xfId="4048" xr:uid="{7E7DD93B-97C2-4D9A-BF5C-9B66979527D7}"/>
    <cellStyle name="40% - Accent1 7 7" xfId="4049" xr:uid="{AC8A9558-378E-444D-BDDF-83A8F25E337F}"/>
    <cellStyle name="40% - Accent1 8" xfId="518" xr:uid="{6240EE1C-873F-42FC-95AD-45095EFE88C0}"/>
    <cellStyle name="40% - Accent1 8 2" xfId="519" xr:uid="{B23B032A-79CA-4CDD-B562-54FF3E4363B2}"/>
    <cellStyle name="40% - Accent1 8 2 2" xfId="520" xr:uid="{212C5975-566D-42F1-ABCC-24E1F883450A}"/>
    <cellStyle name="40% - Accent1 8 2 2 2" xfId="7385" xr:uid="{7AB24179-F907-4D40-8BFF-61D6DDA8F006}"/>
    <cellStyle name="40% - Accent1 8 2 3" xfId="521" xr:uid="{6DA1D148-25DE-450F-BFD5-4D763155E5AF}"/>
    <cellStyle name="40% - Accent1 8 2 3 2" xfId="7386" xr:uid="{B662D84F-386A-4D55-B157-22F891261206}"/>
    <cellStyle name="40% - Accent1 8 2 4" xfId="4050" xr:uid="{597B7E35-3ECA-4AB6-8F5A-9CF12077E391}"/>
    <cellStyle name="40% - Accent1 8 2 5" xfId="7384" xr:uid="{130FAA89-8516-40B0-9151-71EA994C1027}"/>
    <cellStyle name="40% - Accent1 8 3" xfId="522" xr:uid="{5967BDAE-A374-42BF-818D-72E113D76E4A}"/>
    <cellStyle name="40% - Accent1 8 3 2" xfId="4051" xr:uid="{213AEADE-5A94-40C2-ACAE-8DF68160D07C}"/>
    <cellStyle name="40% - Accent1 8 4" xfId="4052" xr:uid="{D6A58939-EE5B-4578-A467-1A23C626C669}"/>
    <cellStyle name="40% - Accent1 8 5" xfId="4053" xr:uid="{90972BAF-4F6A-4AF8-BC7E-000920096C01}"/>
    <cellStyle name="40% - Accent1 8 6" xfId="4054" xr:uid="{6151831D-25A7-489C-8A10-E5DC5F1AB1D4}"/>
    <cellStyle name="40% - Accent1 8 7" xfId="4055" xr:uid="{3666D18B-662C-4EA4-80CF-36532DC608E4}"/>
    <cellStyle name="40% - Accent1 9" xfId="523" xr:uid="{57F9E57A-5F21-41A3-8553-48CB62BEB263}"/>
    <cellStyle name="40% - Accent1 9 2" xfId="524" xr:uid="{DB00F1C0-66DD-4A6A-B379-E9E424CBCF67}"/>
    <cellStyle name="40% - Accent1 9 2 2" xfId="525" xr:uid="{115DA93B-2E70-4E5F-887D-7E43070AE603}"/>
    <cellStyle name="40% - Accent1 9 2 2 2" xfId="7388" xr:uid="{99E83CD2-DF52-4164-89FD-21539B4C5B05}"/>
    <cellStyle name="40% - Accent1 9 2 3" xfId="526" xr:uid="{FDE78D25-8FD0-489A-B78A-62AB85396AA8}"/>
    <cellStyle name="40% - Accent1 9 2 3 2" xfId="7389" xr:uid="{97E2C978-F26D-422F-B1E9-4745ACF88232}"/>
    <cellStyle name="40% - Accent1 9 2 4" xfId="4056" xr:uid="{77B9C354-B1AD-45CA-9EB7-7E38FB27C2D4}"/>
    <cellStyle name="40% - Accent1 9 2 5" xfId="7387" xr:uid="{C57F93F4-D629-48F2-A82C-4240B6192A7F}"/>
    <cellStyle name="40% - Accent1 9 3" xfId="527" xr:uid="{C3D29E97-7891-474C-BEAF-799AF990AC54}"/>
    <cellStyle name="40% - Accent1 9 3 2" xfId="4057" xr:uid="{284A1C34-9336-4051-A3AE-333BB598CAEE}"/>
    <cellStyle name="40% - Accent1 9 4" xfId="4058" xr:uid="{FAD20838-7D05-4E15-8BA7-E3B58AD37508}"/>
    <cellStyle name="40% - Accent1 9 5" xfId="4059" xr:uid="{2A5D58C0-98F4-4E51-8E29-67E7211B0373}"/>
    <cellStyle name="40% - Accent1 9 6" xfId="4060" xr:uid="{912EF711-8A55-4193-A94D-F799347E1E89}"/>
    <cellStyle name="40% - Accent1 9 7" xfId="4061" xr:uid="{8251D2B4-73A4-467C-BFB6-3B04FF526A2F}"/>
    <cellStyle name="40% - Accent2 10" xfId="528" xr:uid="{9C983A49-8072-4FCF-9BFE-9F98C07D096F}"/>
    <cellStyle name="40% - Accent2 10 2" xfId="529" xr:uid="{5DE8B296-8874-45D1-9A53-82B45C88B12A}"/>
    <cellStyle name="40% - Accent2 10 2 2" xfId="530" xr:uid="{D64C4B94-AC82-4925-8F35-8409363DFFD1}"/>
    <cellStyle name="40% - Accent2 10 2 2 2" xfId="7391" xr:uid="{5D17D0E0-5CB6-4D27-81DC-8AE662CE6396}"/>
    <cellStyle name="40% - Accent2 10 2 3" xfId="531" xr:uid="{756F3387-5F37-4FF3-B27D-E0AE11B2E2ED}"/>
    <cellStyle name="40% - Accent2 10 2 3 2" xfId="7392" xr:uid="{2AABE37D-B7A8-4D8B-842A-DCA12126053E}"/>
    <cellStyle name="40% - Accent2 10 2 4" xfId="4062" xr:uid="{F973081B-B389-405C-A6C2-2E56FDF6F494}"/>
    <cellStyle name="40% - Accent2 10 2 5" xfId="7390" xr:uid="{F6D2AD57-367D-4055-8E70-94DCFFA8FD2E}"/>
    <cellStyle name="40% - Accent2 10 3" xfId="532" xr:uid="{8499D036-5EF5-4CC4-A0E5-F9F56C00C94E}"/>
    <cellStyle name="40% - Accent2 10 3 2" xfId="4063" xr:uid="{6B370700-630E-4DD1-863D-5D0FBA2CFA0D}"/>
    <cellStyle name="40% - Accent2 10 4" xfId="4064" xr:uid="{AD81FCA7-6F0D-4671-93C8-933784938551}"/>
    <cellStyle name="40% - Accent2 10 5" xfId="4065" xr:uid="{70F2BC6F-E33C-4226-B519-D66B9B2F0A5C}"/>
    <cellStyle name="40% - Accent2 10 6" xfId="4066" xr:uid="{C86DE903-DD10-4CAE-A951-81C018E264EF}"/>
    <cellStyle name="40% - Accent2 10 7" xfId="4067" xr:uid="{F4352F33-C866-4989-8C3B-C7DA21DCAA56}"/>
    <cellStyle name="40% - Accent2 11" xfId="533" xr:uid="{1E37E012-79B6-448A-AA1E-4626D43DE520}"/>
    <cellStyle name="40% - Accent2 11 2" xfId="534" xr:uid="{915F367A-AD8D-4317-A828-26045FE9AD4F}"/>
    <cellStyle name="40% - Accent2 11 2 2" xfId="535" xr:uid="{331FC00B-76BE-467C-8744-E5984CE1E59B}"/>
    <cellStyle name="40% - Accent2 11 2 2 2" xfId="7394" xr:uid="{D653DD64-7C9F-4A32-B4B1-4850999A39EB}"/>
    <cellStyle name="40% - Accent2 11 2 3" xfId="536" xr:uid="{6D65BFE9-48C6-400B-8BA5-BADCF7A2DD3C}"/>
    <cellStyle name="40% - Accent2 11 2 3 2" xfId="7395" xr:uid="{31F3D57F-EE51-47DF-B4F9-55E2D056474D}"/>
    <cellStyle name="40% - Accent2 11 2 4" xfId="4068" xr:uid="{DAAA8AA3-1AB7-4E2D-A69B-52F17412852D}"/>
    <cellStyle name="40% - Accent2 11 2 5" xfId="7393" xr:uid="{926B85A8-B0E0-4924-900A-7F4BE4626B85}"/>
    <cellStyle name="40% - Accent2 11 3" xfId="537" xr:uid="{A0B31975-6E89-478C-AF6D-FAF9FA85E2B5}"/>
    <cellStyle name="40% - Accent2 11 3 2" xfId="4069" xr:uid="{430759F0-F6AB-4135-A30F-D8C28BB205C7}"/>
    <cellStyle name="40% - Accent2 11 4" xfId="4070" xr:uid="{F0800463-B36B-4AE8-B36C-290EF7E3FF50}"/>
    <cellStyle name="40% - Accent2 11 5" xfId="4071" xr:uid="{BD078009-B3D9-43CA-84F8-1EB5A8D5166D}"/>
    <cellStyle name="40% - Accent2 11 6" xfId="4072" xr:uid="{4B98CB9D-9765-43FE-977D-B99E44EBE89A}"/>
    <cellStyle name="40% - Accent2 11 7" xfId="4073" xr:uid="{3005210C-7362-424B-95E9-6EDFFD3565B7}"/>
    <cellStyle name="40% - Accent2 12" xfId="538" xr:uid="{216866B7-72A1-444B-8E34-1A5E733CD7E8}"/>
    <cellStyle name="40% - Accent2 12 2" xfId="539" xr:uid="{0E212A66-0D94-4B67-BF1D-D41B39255A45}"/>
    <cellStyle name="40% - Accent2 12 2 2" xfId="540" xr:uid="{567F5B8E-C524-4599-9FAC-7F13F7F4EE3E}"/>
    <cellStyle name="40% - Accent2 12 2 2 2" xfId="7397" xr:uid="{887A8193-5C4B-4746-A59C-B01437E083B7}"/>
    <cellStyle name="40% - Accent2 12 2 3" xfId="541" xr:uid="{16BCAAD9-7C99-488D-850E-4CEEE30F8AC3}"/>
    <cellStyle name="40% - Accent2 12 2 3 2" xfId="7398" xr:uid="{6A1750C6-C818-411A-BFB5-32FC16C4170A}"/>
    <cellStyle name="40% - Accent2 12 2 4" xfId="4074" xr:uid="{ADE77D6C-DEDC-4824-A0CE-A455D82ECDEB}"/>
    <cellStyle name="40% - Accent2 12 2 5" xfId="7396" xr:uid="{1E8E4DA9-75D7-470B-B43A-C541D0891CA9}"/>
    <cellStyle name="40% - Accent2 12 3" xfId="542" xr:uid="{EAA20DA9-DA82-4F56-A850-AA32A370A57F}"/>
    <cellStyle name="40% - Accent2 12 3 2" xfId="4075" xr:uid="{53D57D48-D53E-44D7-96DC-91AE61E488A9}"/>
    <cellStyle name="40% - Accent2 12 4" xfId="4076" xr:uid="{A648CBEA-0182-4B7D-BEF2-E22C6B7FA71F}"/>
    <cellStyle name="40% - Accent2 12 5" xfId="4077" xr:uid="{73DCC2D6-6D98-4367-862A-14E73949BA48}"/>
    <cellStyle name="40% - Accent2 12 6" xfId="4078" xr:uid="{4AC58EDA-5F99-45D1-AC64-64FB25067A4B}"/>
    <cellStyle name="40% - Accent2 12 7" xfId="4079" xr:uid="{84EE47F1-6869-4B2D-8A0D-11F9921D56B4}"/>
    <cellStyle name="40% - Accent2 13" xfId="543" xr:uid="{63A07DC3-079C-45BC-A271-FD2EC393EB28}"/>
    <cellStyle name="40% - Accent2 13 2" xfId="544" xr:uid="{0AFD6EE9-423F-4D3F-AC99-67D4667A782D}"/>
    <cellStyle name="40% - Accent2 13 2 2" xfId="4080" xr:uid="{FAA8231C-2243-470B-8A5A-959C6083BDC4}"/>
    <cellStyle name="40% - Accent2 14" xfId="545" xr:uid="{725CAF07-ED77-4C78-AE47-C76744F209FF}"/>
    <cellStyle name="40% - Accent2 14 2" xfId="546" xr:uid="{EC53D0B3-85DB-40EF-BC2B-AA8C135BBFA4}"/>
    <cellStyle name="40% - Accent2 14 2 2" xfId="4081" xr:uid="{0D5463A2-782A-4255-9026-D580441E99A7}"/>
    <cellStyle name="40% - Accent2 15" xfId="547" xr:uid="{F0A69E34-ED18-499A-863B-328829157958}"/>
    <cellStyle name="40% - Accent2 15 2" xfId="548" xr:uid="{58D697C5-9E16-4313-B521-8C80B47F76E5}"/>
    <cellStyle name="40% - Accent2 15 2 2" xfId="4082" xr:uid="{80CC4C56-F77D-47BD-A812-4147857A6C63}"/>
    <cellStyle name="40% - Accent2 16" xfId="549" xr:uid="{F0B03F74-4E8E-499F-9B04-043A3699E4CD}"/>
    <cellStyle name="40% - Accent2 16 2" xfId="550" xr:uid="{A631DA57-BDDE-4DC5-902F-32AB63C2CBF9}"/>
    <cellStyle name="40% - Accent2 16 2 2" xfId="4083" xr:uid="{6199BD4D-8E81-4E05-B024-EC683CFCF065}"/>
    <cellStyle name="40% - Accent2 17" xfId="551" xr:uid="{0A0520DC-E566-438A-9E90-41C38DE9E712}"/>
    <cellStyle name="40% - Accent2 17 2" xfId="552" xr:uid="{A4749AAB-11EA-4D1D-8204-657E179F5D11}"/>
    <cellStyle name="40% - Accent2 17 2 2" xfId="4084" xr:uid="{357BCEC0-0F0D-4272-AFC5-DE8115656BA3}"/>
    <cellStyle name="40% - Accent2 18" xfId="553" xr:uid="{E52542FB-8166-44F1-A020-E734CC7271C1}"/>
    <cellStyle name="40% - Accent2 18 2" xfId="554" xr:uid="{9BA30557-A7BE-49FF-A1A4-B58B1E8909EB}"/>
    <cellStyle name="40% - Accent2 18 2 2" xfId="4085" xr:uid="{76F84189-A1D7-4C45-AFA1-0C5F62A59080}"/>
    <cellStyle name="40% - Accent2 19" xfId="555" xr:uid="{6CBE2EFD-AEF6-49CB-A7FC-A67038512C30}"/>
    <cellStyle name="40% - Accent2 19 2" xfId="556" xr:uid="{698F4483-6323-49AD-9AA9-03932CCCB451}"/>
    <cellStyle name="40% - Accent2 19 2 2" xfId="4086" xr:uid="{AE4FDAA5-2DBB-4965-9548-1355DE62696C}"/>
    <cellStyle name="40% - Accent2 2" xfId="557" xr:uid="{DD84763D-8AB3-49F0-B725-41775146E4FB}"/>
    <cellStyle name="40% - Accent2 2 2" xfId="558" xr:uid="{C0045BC5-F985-43D6-B71D-B02FBD4EC395}"/>
    <cellStyle name="40% - Accent2 2 2 2" xfId="559" xr:uid="{151DA7CC-30A2-4713-A753-9A9D2884F040}"/>
    <cellStyle name="40% - Accent2 2 2 2 2" xfId="560" xr:uid="{06A9955C-FDC7-41A8-A46B-9B7ED57638E4}"/>
    <cellStyle name="40% - Accent2 2 2 2 2 2" xfId="7401" xr:uid="{169B4DEA-3F65-433B-83C3-71DC07431A6F}"/>
    <cellStyle name="40% - Accent2 2 2 2 3" xfId="561" xr:uid="{F0603CEB-F531-41E8-ABA0-D2AA7D5A010B}"/>
    <cellStyle name="40% - Accent2 2 2 2 3 2" xfId="7402" xr:uid="{8EC6B146-D4E1-44B6-83B6-064CE1DE91B0}"/>
    <cellStyle name="40% - Accent2 2 2 2 4" xfId="7400" xr:uid="{09E7299A-0B2E-496F-ABBF-47A524B2EFD4}"/>
    <cellStyle name="40% - Accent2 2 2 3" xfId="562" xr:uid="{A1EE0C22-5A03-41EF-A4E7-6CB6D32674FF}"/>
    <cellStyle name="40% - Accent2 2 2 3 2" xfId="7403" xr:uid="{A8C315FB-1274-4789-B93E-594C83E162EF}"/>
    <cellStyle name="40% - Accent2 2 2 4" xfId="563" xr:uid="{A15D4ECD-DE16-4795-8CB7-789EC1FE2AD7}"/>
    <cellStyle name="40% - Accent2 2 2 4 2" xfId="7404" xr:uid="{65BF5CE9-698F-4958-BE90-E3F9E3437952}"/>
    <cellStyle name="40% - Accent2 2 2 5" xfId="3411" xr:uid="{A282BEF3-8971-4ED5-B8F2-072D8349B128}"/>
    <cellStyle name="40% - Accent2 2 2 6" xfId="7399" xr:uid="{FB59E354-AC40-4E3B-BE92-13FE9B9ECFCC}"/>
    <cellStyle name="40% - Accent2 2 3" xfId="564" xr:uid="{F0B96FE4-B464-4024-83DC-C9A9CA4FF850}"/>
    <cellStyle name="40% - Accent2 2 3 2" xfId="3459" xr:uid="{5369F3D5-166E-4C6E-A7F8-FF666C65A3B5}"/>
    <cellStyle name="40% - Accent2 2 3 3" xfId="7763" xr:uid="{A11BC742-3B3B-42A3-AD51-B12375A97176}"/>
    <cellStyle name="40% - Accent2 2 4" xfId="4087" xr:uid="{1789432A-1180-42B8-9B6F-05448409A052}"/>
    <cellStyle name="40% - Accent2 2 5" xfId="4088" xr:uid="{80058201-27E3-429C-B7B8-EF78A7B8CC17}"/>
    <cellStyle name="40% - Accent2 2 6" xfId="4089" xr:uid="{915AD6C7-CAEA-4437-B327-42E6CA61CA15}"/>
    <cellStyle name="40% - Accent2 2 7" xfId="4090" xr:uid="{FDBF055B-842A-49B6-9246-9F7F25248D9C}"/>
    <cellStyle name="40% - Accent2 2 8" xfId="3380" xr:uid="{82DB4FAA-DBBE-4271-BA03-E78C7A6CDC02}"/>
    <cellStyle name="40% - Accent2 2 9" xfId="7731" xr:uid="{C35E96DC-51D0-4E1C-BD2B-E92EE9D1D932}"/>
    <cellStyle name="40% - Accent2 20" xfId="565" xr:uid="{3F07DDE3-DD67-4063-8AD9-35EBA5A349AB}"/>
    <cellStyle name="40% - Accent2 20 2" xfId="566" xr:uid="{7D8BC904-0300-43D8-86A2-9385CA31241A}"/>
    <cellStyle name="40% - Accent2 20 2 2" xfId="4091" xr:uid="{D3ACFD5F-9BBC-45FA-9C82-EFD91D038F89}"/>
    <cellStyle name="40% - Accent2 21" xfId="567" xr:uid="{22B24A99-3ACA-4C1F-8F7F-845BD8FE6C6D}"/>
    <cellStyle name="40% - Accent2 21 2" xfId="568" xr:uid="{8432BDDF-4E13-4A11-B1DB-9E807131EE24}"/>
    <cellStyle name="40% - Accent2 21 2 2" xfId="4092" xr:uid="{B489172B-790B-4C6A-ACD2-FF192E4D66C2}"/>
    <cellStyle name="40% - Accent2 22" xfId="569" xr:uid="{5650B174-50EF-479B-BD64-D9D7665BC458}"/>
    <cellStyle name="40% - Accent2 22 2" xfId="570" xr:uid="{EF5F8C54-4948-4427-B423-430A347F3E8F}"/>
    <cellStyle name="40% - Accent2 23" xfId="571" xr:uid="{EC75DDEA-D988-4B0F-820B-54BE05A041D2}"/>
    <cellStyle name="40% - Accent2 23 2" xfId="572" xr:uid="{41B778EB-D095-4A49-8ACD-B0E80BAB90AB}"/>
    <cellStyle name="40% - Accent2 24" xfId="573" xr:uid="{CD7162BC-2664-4D5B-A276-4D8A76A6B78C}"/>
    <cellStyle name="40% - Accent2 24 2" xfId="574" xr:uid="{9A5DA2B6-96CE-4463-B4C0-20221DE45E05}"/>
    <cellStyle name="40% - Accent2 25" xfId="575" xr:uid="{E2368E8D-51FF-4AC6-ABBF-DAD13EEA7712}"/>
    <cellStyle name="40% - Accent2 26" xfId="576" xr:uid="{69E0FB8B-41FF-4E30-8384-1C93DED7D586}"/>
    <cellStyle name="40% - Accent2 26 2" xfId="7405" xr:uid="{61A79742-4D2E-4C8F-92C8-C8F154EFE8CA}"/>
    <cellStyle name="40% - Accent2 27" xfId="7715" xr:uid="{3868A67C-9E1D-477E-A551-1F20DC0A5E90}"/>
    <cellStyle name="40% - Accent2 3" xfId="577" xr:uid="{27004082-CF81-4E7C-A654-E8638AD71D0E}"/>
    <cellStyle name="40% - Accent2 3 2" xfId="578" xr:uid="{36E3851C-8581-4E91-A591-568327C9BEC5}"/>
    <cellStyle name="40% - Accent2 3 2 2" xfId="579" xr:uid="{B38EE3CF-9AC7-4198-9EB7-61B4132B0E29}"/>
    <cellStyle name="40% - Accent2 3 2 2 2" xfId="7407" xr:uid="{8E9D060F-D237-419A-9EE0-644C855FECA8}"/>
    <cellStyle name="40% - Accent2 3 2 3" xfId="580" xr:uid="{2B16A523-1E86-4970-94FB-03244AC13520}"/>
    <cellStyle name="40% - Accent2 3 2 3 2" xfId="7408" xr:uid="{BD1FDC80-0EC0-4222-B288-863C44528354}"/>
    <cellStyle name="40% - Accent2 3 2 4" xfId="4093" xr:uid="{59B4CAC4-2EDF-458F-ADB7-CD5C485D0AF8}"/>
    <cellStyle name="40% - Accent2 3 2 5" xfId="7406" xr:uid="{D78DC443-492C-43C9-A8F3-51BE692C2BBF}"/>
    <cellStyle name="40% - Accent2 3 3" xfId="581" xr:uid="{39C3F200-346F-4644-ACC7-413DD95CD6F5}"/>
    <cellStyle name="40% - Accent2 3 3 2" xfId="4094" xr:uid="{C7071081-2663-49AA-9FB0-4D6CB8C1F6BD}"/>
    <cellStyle name="40% - Accent2 3 4" xfId="4095" xr:uid="{9D39D1D3-898D-497C-995E-BE8F43C9FC1C}"/>
    <cellStyle name="40% - Accent2 3 5" xfId="4096" xr:uid="{CB09A757-6244-4DDD-8086-63A5507A9D11}"/>
    <cellStyle name="40% - Accent2 3 6" xfId="4097" xr:uid="{D19EF1F5-6C85-4B94-8F4C-635DC639F7D3}"/>
    <cellStyle name="40% - Accent2 3 7" xfId="4098" xr:uid="{4EE1CB2C-A14F-49DA-B317-536ED2940D6F}"/>
    <cellStyle name="40% - Accent2 3 8" xfId="3394" xr:uid="{3CB26FC9-8077-4CC2-B52E-7670063A61F8}"/>
    <cellStyle name="40% - Accent2 3 9" xfId="7743" xr:uid="{21A45A3A-9941-4ED4-9FF9-7BC866AB5AB7}"/>
    <cellStyle name="40% - Accent2 4" xfId="582" xr:uid="{DBED2985-06DF-4D63-B2BB-508DBE5DA070}"/>
    <cellStyle name="40% - Accent2 4 2" xfId="583" xr:uid="{1B920361-9391-4591-9C76-D8729834ABA5}"/>
    <cellStyle name="40% - Accent2 4 2 2" xfId="584" xr:uid="{829A1B80-04B4-4AC0-8A11-4F88BB3905E1}"/>
    <cellStyle name="40% - Accent2 4 2 2 2" xfId="7410" xr:uid="{3C8CA141-7CE0-4190-A839-49D89D40FCC4}"/>
    <cellStyle name="40% - Accent2 4 2 3" xfId="585" xr:uid="{9D6B9F1B-757A-4009-9AF6-DB73CDEEA309}"/>
    <cellStyle name="40% - Accent2 4 2 3 2" xfId="7411" xr:uid="{1802D973-7987-4C50-8266-2F7EFF00BC2E}"/>
    <cellStyle name="40% - Accent2 4 2 4" xfId="4100" xr:uid="{CBBC182C-E961-44F0-A1B6-A99F118B2971}"/>
    <cellStyle name="40% - Accent2 4 2 5" xfId="7409" xr:uid="{245E4912-44E0-40C4-81CB-45E39E828CF0}"/>
    <cellStyle name="40% - Accent2 4 3" xfId="586" xr:uid="{716C6416-791C-4310-ADA8-8962C6BB7B0F}"/>
    <cellStyle name="40% - Accent2 4 3 2" xfId="4101" xr:uid="{EC605485-7A69-48DC-86CE-5732B7864EF9}"/>
    <cellStyle name="40% - Accent2 4 4" xfId="4102" xr:uid="{B90FB4AD-7B5C-4C10-93AE-5B860FF10F31}"/>
    <cellStyle name="40% - Accent2 4 5" xfId="4103" xr:uid="{E765A218-C723-4D66-9FA9-4CFA92F14913}"/>
    <cellStyle name="40% - Accent2 4 6" xfId="4104" xr:uid="{CD58A351-9E24-4119-B1CD-4299C1095872}"/>
    <cellStyle name="40% - Accent2 4 7" xfId="4105" xr:uid="{6037912D-22F0-4F32-9884-56C7DA736C34}"/>
    <cellStyle name="40% - Accent2 4 8" xfId="4099" xr:uid="{71E7C709-F3D3-424C-A5F0-116323B3E267}"/>
    <cellStyle name="40% - Accent2 5" xfId="587" xr:uid="{20D96BCF-FAFB-4B4E-8065-AECEB9453C0B}"/>
    <cellStyle name="40% - Accent2 5 2" xfId="588" xr:uid="{573904F7-33E3-4985-B06E-3F380637D516}"/>
    <cellStyle name="40% - Accent2 5 2 2" xfId="589" xr:uid="{BD7D36D9-A374-4500-9F82-6E3D14615886}"/>
    <cellStyle name="40% - Accent2 5 2 2 2" xfId="7413" xr:uid="{EBC414DD-D4F5-469B-9E3E-5A3E9F8FC5E8}"/>
    <cellStyle name="40% - Accent2 5 2 3" xfId="590" xr:uid="{FDD4A4FB-FBA5-4D29-8316-DEFBABB0CFE0}"/>
    <cellStyle name="40% - Accent2 5 2 3 2" xfId="7414" xr:uid="{5FE7FB3A-FF58-4F71-A2A7-99FA12ABB14E}"/>
    <cellStyle name="40% - Accent2 5 2 4" xfId="4107" xr:uid="{8F70A88E-809B-47D8-B23E-C7C6B9FC5E56}"/>
    <cellStyle name="40% - Accent2 5 2 5" xfId="7412" xr:uid="{32055D43-CDC4-491B-B6B1-FE07CCAB8CF0}"/>
    <cellStyle name="40% - Accent2 5 3" xfId="591" xr:uid="{442C35BA-A7B0-4F6F-8C75-6A3DD8C73755}"/>
    <cellStyle name="40% - Accent2 5 3 2" xfId="4108" xr:uid="{D497C3A1-44FE-4F58-B997-81B9992221BD}"/>
    <cellStyle name="40% - Accent2 5 4" xfId="4109" xr:uid="{2A5AE7B1-B69C-4838-BB2B-828FACB8A239}"/>
    <cellStyle name="40% - Accent2 5 5" xfId="4110" xr:uid="{6F368137-AEA3-4085-B1EC-12BED226687B}"/>
    <cellStyle name="40% - Accent2 5 6" xfId="4111" xr:uid="{96E9BC98-CD88-4E1E-9F6B-2E4B0923A6A8}"/>
    <cellStyle name="40% - Accent2 5 7" xfId="4112" xr:uid="{0D0679B3-4E0D-415F-83CA-8E9F27622D7A}"/>
    <cellStyle name="40% - Accent2 5 8" xfId="4106" xr:uid="{52A3D3C0-773C-4B1E-9F6E-08683C6B5F74}"/>
    <cellStyle name="40% - Accent2 6" xfId="592" xr:uid="{FD798FD6-A64D-423E-92FB-E51236DC59B4}"/>
    <cellStyle name="40% - Accent2 6 2" xfId="593" xr:uid="{5DA357EF-52E6-4DD0-87EB-661AE352077C}"/>
    <cellStyle name="40% - Accent2 6 2 2" xfId="594" xr:uid="{7A957C8E-8CF3-474C-AEAC-2C3E8E6F0F37}"/>
    <cellStyle name="40% - Accent2 6 2 2 2" xfId="7416" xr:uid="{DDD20DA9-4D19-43CF-9704-FA8E5BB1C965}"/>
    <cellStyle name="40% - Accent2 6 2 3" xfId="595" xr:uid="{1F3CE2B6-B072-49FD-804A-BF92BCA43E86}"/>
    <cellStyle name="40% - Accent2 6 2 3 2" xfId="7417" xr:uid="{7C1B7C6C-1196-4136-9634-EA35ADA69B3C}"/>
    <cellStyle name="40% - Accent2 6 2 4" xfId="4113" xr:uid="{9E808F2D-DF41-45B4-BC95-1569D1178A6B}"/>
    <cellStyle name="40% - Accent2 6 2 5" xfId="7415" xr:uid="{676F2E38-4D2C-446A-AD5B-858AB631AD63}"/>
    <cellStyle name="40% - Accent2 6 3" xfId="596" xr:uid="{BABC4C66-6796-44C4-8C31-F800C83D20EA}"/>
    <cellStyle name="40% - Accent2 6 3 2" xfId="4114" xr:uid="{842B25E5-C8EC-4664-8967-12B92F336AFE}"/>
    <cellStyle name="40% - Accent2 6 4" xfId="4115" xr:uid="{C4E23BCD-9BF7-42C6-B22F-288AF2046589}"/>
    <cellStyle name="40% - Accent2 6 5" xfId="4116" xr:uid="{B1DB3CE7-A14B-439C-9103-1BD07EF34128}"/>
    <cellStyle name="40% - Accent2 6 6" xfId="4117" xr:uid="{0A79F7C4-8A6A-47AC-8736-E6B9094D8721}"/>
    <cellStyle name="40% - Accent2 6 7" xfId="4118" xr:uid="{0AF03161-4A3E-4331-BFD6-77631859EF13}"/>
    <cellStyle name="40% - Accent2 7" xfId="597" xr:uid="{D344DE17-AD97-4203-BF3F-6877F063C0E3}"/>
    <cellStyle name="40% - Accent2 7 2" xfId="598" xr:uid="{B088C59C-C925-435A-916C-E3F74A978FA7}"/>
    <cellStyle name="40% - Accent2 7 2 2" xfId="599" xr:uid="{568EF440-27D0-40B6-B8CF-6330E7D94510}"/>
    <cellStyle name="40% - Accent2 7 2 2 2" xfId="7419" xr:uid="{56861AED-E7FE-4637-85E2-AEBC63E8D9C1}"/>
    <cellStyle name="40% - Accent2 7 2 3" xfId="600" xr:uid="{6FFE61BD-E845-410E-AD10-FF6C23798A27}"/>
    <cellStyle name="40% - Accent2 7 2 3 2" xfId="7420" xr:uid="{FC890951-65CF-4FDA-8A31-9DDA8262D66F}"/>
    <cellStyle name="40% - Accent2 7 2 4" xfId="4119" xr:uid="{C73E2B29-8536-4F2F-B663-11BA4244F5A0}"/>
    <cellStyle name="40% - Accent2 7 2 5" xfId="7418" xr:uid="{86AF69C0-E8EC-474D-9208-7970C71A735F}"/>
    <cellStyle name="40% - Accent2 7 3" xfId="601" xr:uid="{F6FC6439-1EE4-4417-B94B-01A7EA73F2EF}"/>
    <cellStyle name="40% - Accent2 7 3 2" xfId="4120" xr:uid="{58A633DD-2A99-4CC3-AF47-A0E8487184B0}"/>
    <cellStyle name="40% - Accent2 7 4" xfId="4121" xr:uid="{27BCF6EA-9A4E-4DE9-B0CA-8D81F28C874A}"/>
    <cellStyle name="40% - Accent2 7 5" xfId="4122" xr:uid="{A1F68C2C-020C-4C95-BA58-AB6BADA03809}"/>
    <cellStyle name="40% - Accent2 7 6" xfId="4123" xr:uid="{4645634B-8FCD-4E2D-881F-B651D747B311}"/>
    <cellStyle name="40% - Accent2 7 7" xfId="4124" xr:uid="{7F33EF5A-E6A2-489D-ACF7-FE99141679EE}"/>
    <cellStyle name="40% - Accent2 8" xfId="602" xr:uid="{5F434A4E-067C-4398-830F-DC89310F218B}"/>
    <cellStyle name="40% - Accent2 8 2" xfId="603" xr:uid="{7D5BA184-E97B-42C5-93DA-4B9368087252}"/>
    <cellStyle name="40% - Accent2 8 2 2" xfId="604" xr:uid="{B528B9C5-E212-46CB-961B-57B6228DE939}"/>
    <cellStyle name="40% - Accent2 8 2 2 2" xfId="7422" xr:uid="{A66521A0-45CF-40CE-B85A-CD2AD1AB3C2A}"/>
    <cellStyle name="40% - Accent2 8 2 3" xfId="605" xr:uid="{EBF9BD06-52C0-4905-A987-FBA1F2E8D16F}"/>
    <cellStyle name="40% - Accent2 8 2 3 2" xfId="7423" xr:uid="{57FB8BA2-AE36-4FF4-8C7F-CD6772C0A82D}"/>
    <cellStyle name="40% - Accent2 8 2 4" xfId="4125" xr:uid="{CA08E5FB-AA6C-4461-8E05-ADB731F8DB87}"/>
    <cellStyle name="40% - Accent2 8 2 5" xfId="7421" xr:uid="{E1AD6888-92CC-454B-A2F4-B30F2B9F0791}"/>
    <cellStyle name="40% - Accent2 8 3" xfId="606" xr:uid="{FCB6A8D6-D9C7-4F1E-A718-5010946E13CF}"/>
    <cellStyle name="40% - Accent2 8 3 2" xfId="4126" xr:uid="{80960F4C-1732-4B77-9B53-7A99F82FFFE4}"/>
    <cellStyle name="40% - Accent2 8 4" xfId="4127" xr:uid="{F30D5691-BC3D-4055-BECE-87DFAF76E73C}"/>
    <cellStyle name="40% - Accent2 8 5" xfId="4128" xr:uid="{72F5DCF0-BEBB-4D27-B89C-FCCD77C8D519}"/>
    <cellStyle name="40% - Accent2 8 6" xfId="4129" xr:uid="{590AB5F8-5DBC-4671-803A-D9A26BFE98D5}"/>
    <cellStyle name="40% - Accent2 8 7" xfId="4130" xr:uid="{24B20D1D-F616-4DAE-86EF-44241D026DE5}"/>
    <cellStyle name="40% - Accent2 9" xfId="607" xr:uid="{52F890E4-1561-41D8-95BF-88ED04395062}"/>
    <cellStyle name="40% - Accent2 9 2" xfId="608" xr:uid="{4A35BF08-85E5-4237-8E8C-E1FC749C68F1}"/>
    <cellStyle name="40% - Accent2 9 2 2" xfId="609" xr:uid="{B1691B80-85C9-4715-967F-9ED3CF3D50F9}"/>
    <cellStyle name="40% - Accent2 9 2 2 2" xfId="7425" xr:uid="{C22EFDC8-B831-4C99-8DA6-E48D1EE96041}"/>
    <cellStyle name="40% - Accent2 9 2 3" xfId="610" xr:uid="{4D2C5FC4-A6E3-4A64-A52B-FC810E7338AB}"/>
    <cellStyle name="40% - Accent2 9 2 3 2" xfId="7426" xr:uid="{B6F4EF40-D0D6-4819-B79F-ED27884204FB}"/>
    <cellStyle name="40% - Accent2 9 2 4" xfId="4131" xr:uid="{A0339BB6-77FC-4D97-802B-94F09062D522}"/>
    <cellStyle name="40% - Accent2 9 2 5" xfId="7424" xr:uid="{63399A4C-8A79-4A68-8D23-8E2E689C2B32}"/>
    <cellStyle name="40% - Accent2 9 3" xfId="611" xr:uid="{E2428983-BF00-4E3B-BBC3-2F43805B2AB2}"/>
    <cellStyle name="40% - Accent2 9 3 2" xfId="4132" xr:uid="{04ECB21F-E639-4E56-9DE3-6BB2284F6090}"/>
    <cellStyle name="40% - Accent2 9 4" xfId="4133" xr:uid="{69A6E8A6-D5E5-44FC-B467-A0C5ACB9F248}"/>
    <cellStyle name="40% - Accent2 9 5" xfId="4134" xr:uid="{61982CD3-FEDA-4B0B-8FE7-C3D31085BBFF}"/>
    <cellStyle name="40% - Accent2 9 6" xfId="4135" xr:uid="{FEF74D83-6D46-44F2-A2C4-C788AB57E79E}"/>
    <cellStyle name="40% - Accent2 9 7" xfId="4136" xr:uid="{5C2377D3-6B20-4779-A250-8C52CBF1F19C}"/>
    <cellStyle name="40% - Accent3 10" xfId="612" xr:uid="{DC33F350-E6E0-4A8E-BE02-447EE3E54254}"/>
    <cellStyle name="40% - Accent3 10 2" xfId="613" xr:uid="{3A43EEB5-4AA6-49D6-812B-885A9A8CF2E7}"/>
    <cellStyle name="40% - Accent3 10 2 2" xfId="614" xr:uid="{117DADF6-BA07-4A60-BEA8-EEB97ADEDCF3}"/>
    <cellStyle name="40% - Accent3 10 2 2 2" xfId="7428" xr:uid="{778592C9-38B2-40C3-BC59-5E1212B8BCAB}"/>
    <cellStyle name="40% - Accent3 10 2 3" xfId="615" xr:uid="{A6EBF691-4A29-4DF6-9FA4-9417BE015E36}"/>
    <cellStyle name="40% - Accent3 10 2 3 2" xfId="7429" xr:uid="{2B530616-EE11-4C7B-84AD-256F1A48C211}"/>
    <cellStyle name="40% - Accent3 10 2 4" xfId="4137" xr:uid="{8562F7C3-7BB3-4C2E-8BB9-11F880FBFE8E}"/>
    <cellStyle name="40% - Accent3 10 2 5" xfId="7427" xr:uid="{BF77C9AE-0B71-4CA2-9D74-13D316464F4C}"/>
    <cellStyle name="40% - Accent3 10 3" xfId="616" xr:uid="{A533720E-68CE-4594-B57A-A786559E50D1}"/>
    <cellStyle name="40% - Accent3 10 4" xfId="4138" xr:uid="{385D2EAA-E452-4631-9A01-76FD313877FC}"/>
    <cellStyle name="40% - Accent3 10 5" xfId="4139" xr:uid="{23283C90-F839-4A00-9448-5C46A65D8159}"/>
    <cellStyle name="40% - Accent3 10 6" xfId="4140" xr:uid="{3B3B1C72-F427-49B4-A5A1-8E49648D8F34}"/>
    <cellStyle name="40% - Accent3 10 7" xfId="4141" xr:uid="{10636E1F-2D45-4F8B-B2DA-75C5CD0FD099}"/>
    <cellStyle name="40% - Accent3 11" xfId="617" xr:uid="{318DC75E-A3C3-410E-88D9-EC4C8A3A4A7F}"/>
    <cellStyle name="40% - Accent3 11 2" xfId="618" xr:uid="{F3579566-98DC-400C-88BA-806FC6ABFCB3}"/>
    <cellStyle name="40% - Accent3 11 2 2" xfId="619" xr:uid="{EDB48BFE-6909-4678-BBDF-C9E5185C7CA9}"/>
    <cellStyle name="40% - Accent3 11 2 2 2" xfId="7431" xr:uid="{9FD253D9-FEEC-4A0B-8A9F-9E2D693222DF}"/>
    <cellStyle name="40% - Accent3 11 2 3" xfId="620" xr:uid="{26E91C1F-5BB3-46C7-8ABE-50447B49A079}"/>
    <cellStyle name="40% - Accent3 11 2 3 2" xfId="7432" xr:uid="{8DACD865-3AD9-486F-9FBD-88A9FDE2BB2C}"/>
    <cellStyle name="40% - Accent3 11 2 4" xfId="4142" xr:uid="{0AA06844-B3A8-440D-86E8-6F0B56FF1761}"/>
    <cellStyle name="40% - Accent3 11 2 5" xfId="7430" xr:uid="{C872CF4F-4157-4E48-82AE-1B44C15100FA}"/>
    <cellStyle name="40% - Accent3 11 3" xfId="621" xr:uid="{26229FE0-70E8-4A56-AC1E-12D1FB7566A6}"/>
    <cellStyle name="40% - Accent3 11 4" xfId="4143" xr:uid="{84844DC5-C801-483E-8129-97EE7B92B4F1}"/>
    <cellStyle name="40% - Accent3 11 5" xfId="4144" xr:uid="{01666ADD-3EF4-4572-9FA6-640A1ACEDAD6}"/>
    <cellStyle name="40% - Accent3 11 6" xfId="4145" xr:uid="{B049F984-6DBF-4288-8A6C-059DCB21A85E}"/>
    <cellStyle name="40% - Accent3 11 7" xfId="4146" xr:uid="{E4F79FA0-2F85-497E-A7F0-E75CF54A56FA}"/>
    <cellStyle name="40% - Accent3 12" xfId="622" xr:uid="{EAB19188-AA45-4D32-A410-DE8805DB0153}"/>
    <cellStyle name="40% - Accent3 12 2" xfId="623" xr:uid="{302EF7E0-0F8B-453A-95C7-7B5BDAAED5B6}"/>
    <cellStyle name="40% - Accent3 12 2 2" xfId="624" xr:uid="{877B6632-2D3C-47D0-9F45-B8CF475CB70A}"/>
    <cellStyle name="40% - Accent3 12 2 2 2" xfId="7434" xr:uid="{0621F6A1-567D-4490-A055-326B5974901D}"/>
    <cellStyle name="40% - Accent3 12 2 3" xfId="625" xr:uid="{04E930C9-C510-4EE5-9A78-770C90ADD016}"/>
    <cellStyle name="40% - Accent3 12 2 3 2" xfId="7435" xr:uid="{0C140572-0836-4A53-AD8C-FAFA23C0096A}"/>
    <cellStyle name="40% - Accent3 12 2 4" xfId="4147" xr:uid="{7BDAF64E-A7CB-47DE-B17B-2ACFD590B1C5}"/>
    <cellStyle name="40% - Accent3 12 2 5" xfId="7433" xr:uid="{1EE671A5-42FB-40AF-9F71-BADE236EEECA}"/>
    <cellStyle name="40% - Accent3 12 3" xfId="626" xr:uid="{513B6F05-2A4C-4F02-8972-553708CC94F0}"/>
    <cellStyle name="40% - Accent3 12 4" xfId="4148" xr:uid="{CBE4A243-191D-41D5-8428-367F1309934A}"/>
    <cellStyle name="40% - Accent3 12 5" xfId="4149" xr:uid="{36EEF3FC-6D6B-4DC0-9CB3-28E7C23712A3}"/>
    <cellStyle name="40% - Accent3 12 6" xfId="4150" xr:uid="{FABD1C6E-902B-4D02-A257-D4C75775E77B}"/>
    <cellStyle name="40% - Accent3 12 7" xfId="4151" xr:uid="{C65D2E82-D606-40B5-AC81-2C7B62B6EA66}"/>
    <cellStyle name="40% - Accent3 13" xfId="627" xr:uid="{886F9AFF-0C6C-442A-8214-A345D6471D12}"/>
    <cellStyle name="40% - Accent3 13 2" xfId="628" xr:uid="{4560F85A-9D7F-4EDA-A90D-2D31FFEA322F}"/>
    <cellStyle name="40% - Accent3 14" xfId="629" xr:uid="{012B87D8-0940-43D6-8007-8C0D86851BB3}"/>
    <cellStyle name="40% - Accent3 14 2" xfId="630" xr:uid="{C0203623-07D1-4607-A042-03711DAFE719}"/>
    <cellStyle name="40% - Accent3 15" xfId="631" xr:uid="{784B07F9-FE44-4300-9FA5-D8873B8308A4}"/>
    <cellStyle name="40% - Accent3 15 2" xfId="632" xr:uid="{EFDD978D-EE01-4EF2-9FF8-3F9FC7344412}"/>
    <cellStyle name="40% - Accent3 16" xfId="633" xr:uid="{CDA6EF5B-FF6E-4B2F-9CD8-AE5116B41100}"/>
    <cellStyle name="40% - Accent3 16 2" xfId="634" xr:uid="{A85EECB3-DD8C-46E7-B9A6-CC943A47E6A1}"/>
    <cellStyle name="40% - Accent3 17" xfId="635" xr:uid="{79BCD0DB-2F1B-43B4-A92A-323C8BE460F4}"/>
    <cellStyle name="40% - Accent3 17 2" xfId="636" xr:uid="{51EEE916-CFA8-451B-908E-37030C089874}"/>
    <cellStyle name="40% - Accent3 18" xfId="637" xr:uid="{3BFDBDA2-1E6A-4DCC-ABC2-CA936D3E5E57}"/>
    <cellStyle name="40% - Accent3 18 2" xfId="638" xr:uid="{FEF7BA53-6B66-4E3A-8410-F14C6EE058AF}"/>
    <cellStyle name="40% - Accent3 19" xfId="639" xr:uid="{A651C076-85FE-4C57-87A7-9013298E8A5D}"/>
    <cellStyle name="40% - Accent3 19 2" xfId="640" xr:uid="{34E0AF40-58FD-4934-ADBC-D3E1AB9DCA26}"/>
    <cellStyle name="40% - Accent3 2" xfId="641" xr:uid="{27BD34C9-737F-4128-A0A5-1217ED7446AD}"/>
    <cellStyle name="40% - Accent3 2 2" xfId="642" xr:uid="{514D7E1D-1116-45C1-AF00-543E1B82A9B5}"/>
    <cellStyle name="40% - Accent3 2 2 2" xfId="643" xr:uid="{C7BEED54-435F-4E71-8F62-182AE192B803}"/>
    <cellStyle name="40% - Accent3 2 2 2 2" xfId="644" xr:uid="{DFF08368-149E-4B41-BF95-DCB030C89B33}"/>
    <cellStyle name="40% - Accent3 2 2 2 2 2" xfId="7438" xr:uid="{4F647B6D-8CC0-46A0-8E2A-B3650F3A15D2}"/>
    <cellStyle name="40% - Accent3 2 2 2 3" xfId="645" xr:uid="{7405D408-A7A3-4D47-B22A-BF03B10210E1}"/>
    <cellStyle name="40% - Accent3 2 2 2 3 2" xfId="7439" xr:uid="{C562328C-2DAC-45D1-9919-8678D451E81E}"/>
    <cellStyle name="40% - Accent3 2 2 2 4" xfId="7437" xr:uid="{618FC499-5184-48E8-AB0B-ACE10B54ED24}"/>
    <cellStyle name="40% - Accent3 2 2 3" xfId="646" xr:uid="{93FF6685-467E-49E4-AD7A-BBC3E676DC3E}"/>
    <cellStyle name="40% - Accent3 2 2 3 2" xfId="7440" xr:uid="{DF73928C-D75E-4D04-8210-5B9AA874D479}"/>
    <cellStyle name="40% - Accent3 2 2 4" xfId="647" xr:uid="{95DE6C57-BDBC-49FC-895C-EBDA4DE8BDCC}"/>
    <cellStyle name="40% - Accent3 2 2 4 2" xfId="7441" xr:uid="{2AAF47C2-50C1-4116-89A6-645AC9AFCF73}"/>
    <cellStyle name="40% - Accent3 2 2 5" xfId="3410" xr:uid="{307EEC35-1AB0-403E-A921-AEB128311C92}"/>
    <cellStyle name="40% - Accent3 2 2 6" xfId="7436" xr:uid="{F97FC31D-3135-465D-97A8-93BD9D018902}"/>
    <cellStyle name="40% - Accent3 2 3" xfId="648" xr:uid="{74E1E84E-2025-4AAA-B7E4-AD5A1809683D}"/>
    <cellStyle name="40% - Accent3 2 3 2" xfId="3461" xr:uid="{BA627F47-0B15-41EB-BCD6-0AB6E64562E1}"/>
    <cellStyle name="40% - Accent3 2 3 3" xfId="7765" xr:uid="{6A5BA53F-0096-4B55-B5E0-9A705176D894}"/>
    <cellStyle name="40% - Accent3 2 4" xfId="4152" xr:uid="{03995596-F749-4267-A7E6-C7BB5635EB07}"/>
    <cellStyle name="40% - Accent3 2 5" xfId="4153" xr:uid="{74EF6C8E-205A-4FA0-8B29-959E4E166339}"/>
    <cellStyle name="40% - Accent3 2 6" xfId="4154" xr:uid="{95A860C9-A340-4E39-BADE-4F067B626A62}"/>
    <cellStyle name="40% - Accent3 2 7" xfId="4155" xr:uid="{43CD698F-0123-4F7B-9856-04FDDF6E1107}"/>
    <cellStyle name="40% - Accent3 2 8" xfId="3382" xr:uid="{D2854704-E693-4FAC-8F4C-3073D1316674}"/>
    <cellStyle name="40% - Accent3 2 9" xfId="7733" xr:uid="{AE5F5EBA-674C-4B47-95BC-BB61436B6F4C}"/>
    <cellStyle name="40% - Accent3 20" xfId="649" xr:uid="{F76759EC-0182-4143-AB78-9A244808CAC1}"/>
    <cellStyle name="40% - Accent3 20 2" xfId="650" xr:uid="{5043F021-8116-494E-811E-0F642FB55936}"/>
    <cellStyle name="40% - Accent3 21" xfId="651" xr:uid="{94036452-41F0-4470-B367-E8635BFE245C}"/>
    <cellStyle name="40% - Accent3 21 2" xfId="652" xr:uid="{F208ED61-94F6-47B0-949F-42E0B5EA9F33}"/>
    <cellStyle name="40% - Accent3 22" xfId="653" xr:uid="{23B35AB3-E75E-4F7A-935C-125B9563865E}"/>
    <cellStyle name="40% - Accent3 22 2" xfId="654" xr:uid="{03CA6C1B-6124-4221-9078-CCB423732E9A}"/>
    <cellStyle name="40% - Accent3 23" xfId="655" xr:uid="{75D2CCAA-4AB1-4D07-9968-0DC43E084B29}"/>
    <cellStyle name="40% - Accent3 23 2" xfId="656" xr:uid="{93727D7C-01F4-4FCF-9C1E-99EED2E1F1BF}"/>
    <cellStyle name="40% - Accent3 24" xfId="657" xr:uid="{04E25784-F445-4B1B-A6D4-7076D25007D2}"/>
    <cellStyle name="40% - Accent3 24 2" xfId="658" xr:uid="{0ECF8D0E-A87A-4EAF-B203-BA4F03736BA5}"/>
    <cellStyle name="40% - Accent3 25" xfId="659" xr:uid="{585AB697-C82E-42D6-B2D2-1A74815D16C3}"/>
    <cellStyle name="40% - Accent3 26" xfId="660" xr:uid="{6EB29B21-5B5A-4F2A-B2DE-B46B50E79342}"/>
    <cellStyle name="40% - Accent3 26 2" xfId="7442" xr:uid="{E681F827-8FCD-4188-A8EE-E87E78CDD6BC}"/>
    <cellStyle name="40% - Accent3 27" xfId="7717" xr:uid="{3658D737-2C2F-4261-AEEF-B538A2B71216}"/>
    <cellStyle name="40% - Accent3 3" xfId="661" xr:uid="{F2CA5A8E-F4A0-4D5C-8A20-219792436608}"/>
    <cellStyle name="40% - Accent3 3 2" xfId="662" xr:uid="{0B525B92-487D-460B-98A6-ED3B26295AE6}"/>
    <cellStyle name="40% - Accent3 3 2 2" xfId="663" xr:uid="{D5060750-4053-480A-9DBD-1DF5F568D832}"/>
    <cellStyle name="40% - Accent3 3 2 2 2" xfId="7444" xr:uid="{A8A6A8D9-1CD1-47C4-ADCA-D00D10C4C0A2}"/>
    <cellStyle name="40% - Accent3 3 2 3" xfId="664" xr:uid="{BADF744F-F4E0-4B3D-BCB1-FFAF17783DD1}"/>
    <cellStyle name="40% - Accent3 3 2 3 2" xfId="7445" xr:uid="{361D3BE4-FF4D-476C-9C9D-AAE8852CD019}"/>
    <cellStyle name="40% - Accent3 3 2 4" xfId="4156" xr:uid="{FC9C0CFB-CB96-48BE-AB13-334A928A0D99}"/>
    <cellStyle name="40% - Accent3 3 2 5" xfId="7443" xr:uid="{E56CCE04-9157-4843-ADFB-BCAD5E9327D4}"/>
    <cellStyle name="40% - Accent3 3 3" xfId="665" xr:uid="{B37F8592-87EA-424B-AAD8-A0D2959C2DB6}"/>
    <cellStyle name="40% - Accent3 3 4" xfId="4157" xr:uid="{6EBEBCD1-39A3-46A1-9255-E6DE37056A47}"/>
    <cellStyle name="40% - Accent3 3 5" xfId="4158" xr:uid="{85751D46-7307-45ED-A556-ADE464981BE0}"/>
    <cellStyle name="40% - Accent3 3 6" xfId="4159" xr:uid="{05D712E3-108F-4588-B0D6-813A96721B11}"/>
    <cellStyle name="40% - Accent3 3 7" xfId="4160" xr:uid="{F9779054-CB4B-4F15-B095-0EDCC1F2C75A}"/>
    <cellStyle name="40% - Accent3 3 8" xfId="3398" xr:uid="{5B3A94D7-2DCA-4091-B5A4-3AC3FE3C58B8}"/>
    <cellStyle name="40% - Accent3 3 9" xfId="7745" xr:uid="{255F09F0-5D09-429E-9B46-322E8064D9FE}"/>
    <cellStyle name="40% - Accent3 4" xfId="666" xr:uid="{7BBA7C3F-2C95-4477-B7A4-55F17BECF7DF}"/>
    <cellStyle name="40% - Accent3 4 2" xfId="667" xr:uid="{1BE57C6A-8094-4AF3-89EE-74C6F4BB9FED}"/>
    <cellStyle name="40% - Accent3 4 2 2" xfId="668" xr:uid="{AEA7528B-3DD1-4807-9978-2203B7FCB078}"/>
    <cellStyle name="40% - Accent3 4 2 2 2" xfId="7447" xr:uid="{672F11B5-E84C-4E21-B2E4-1923263230D6}"/>
    <cellStyle name="40% - Accent3 4 2 3" xfId="669" xr:uid="{C98B8BD2-C9B7-4315-BC77-482010CE9005}"/>
    <cellStyle name="40% - Accent3 4 2 3 2" xfId="7448" xr:uid="{23B9A239-D3C5-4E12-912E-3BF9BDA8CCB8}"/>
    <cellStyle name="40% - Accent3 4 2 4" xfId="4161" xr:uid="{9CFF5A7C-2126-492E-A9BE-A0C7EF62BDF9}"/>
    <cellStyle name="40% - Accent3 4 2 5" xfId="7446" xr:uid="{05DF878B-DA73-4716-932C-8921C1C0E089}"/>
    <cellStyle name="40% - Accent3 4 3" xfId="670" xr:uid="{144E6284-0053-44AF-8AE8-E1C438A65711}"/>
    <cellStyle name="40% - Accent3 4 4" xfId="4162" xr:uid="{7FC819AF-955E-472D-950E-27ADA6D84F8E}"/>
    <cellStyle name="40% - Accent3 4 5" xfId="4163" xr:uid="{15D2BB76-3516-4CC7-8475-1E7D90595EB8}"/>
    <cellStyle name="40% - Accent3 4 6" xfId="4164" xr:uid="{208ECA82-C0D6-4CB7-B34B-8AA4B03F673B}"/>
    <cellStyle name="40% - Accent3 4 7" xfId="4165" xr:uid="{BA68DB54-3D37-430C-B03F-41158F5217B3}"/>
    <cellStyle name="40% - Accent3 5" xfId="671" xr:uid="{484053CA-24B9-4233-934F-6E574367A1D5}"/>
    <cellStyle name="40% - Accent3 5 2" xfId="672" xr:uid="{50AD5A87-8E82-413F-9BC1-4BB2957440C9}"/>
    <cellStyle name="40% - Accent3 5 2 2" xfId="673" xr:uid="{B97EB992-4283-4BDE-A49B-48D7DA3949A7}"/>
    <cellStyle name="40% - Accent3 5 2 2 2" xfId="7450" xr:uid="{A00F81C1-C885-48C9-9E35-EAB87BC78266}"/>
    <cellStyle name="40% - Accent3 5 2 3" xfId="674" xr:uid="{B4B39534-7EF2-4AF9-BD40-0097AEDAADCC}"/>
    <cellStyle name="40% - Accent3 5 2 3 2" xfId="7451" xr:uid="{68D2D8A7-630E-44B9-9110-CCE302A9F571}"/>
    <cellStyle name="40% - Accent3 5 2 4" xfId="4166" xr:uid="{D743352F-1F32-4C97-8F01-C5FB0801A0B2}"/>
    <cellStyle name="40% - Accent3 5 2 5" xfId="7449" xr:uid="{F58E57E7-E0FD-40EE-9F4E-F97BBF09F35D}"/>
    <cellStyle name="40% - Accent3 5 3" xfId="675" xr:uid="{501AA81C-E9C2-4327-A9C5-D78A536F1552}"/>
    <cellStyle name="40% - Accent3 5 4" xfId="4167" xr:uid="{2C5A1B43-D57A-4CFB-AB79-D40EB9FA706D}"/>
    <cellStyle name="40% - Accent3 5 5" xfId="4168" xr:uid="{9626C3A2-2A8C-4D47-AAF5-095D0483E1D2}"/>
    <cellStyle name="40% - Accent3 5 6" xfId="4169" xr:uid="{D226ADE6-5996-41F4-A5F7-AF3C748CD6AF}"/>
    <cellStyle name="40% - Accent3 5 7" xfId="4170" xr:uid="{7780F1F6-F31D-4A59-BA1A-6B96F886B527}"/>
    <cellStyle name="40% - Accent3 6" xfId="676" xr:uid="{338E0E81-B22B-40C4-A0DA-B1924BC8CC19}"/>
    <cellStyle name="40% - Accent3 6 2" xfId="677" xr:uid="{A2C2AE34-7C2A-48FA-A30D-D002162F7187}"/>
    <cellStyle name="40% - Accent3 6 2 2" xfId="678" xr:uid="{0450B82A-9EA4-4ABC-9A6A-4227A1456E53}"/>
    <cellStyle name="40% - Accent3 6 2 2 2" xfId="7453" xr:uid="{CE4ACA03-3DCA-41D4-888C-E122A17554A9}"/>
    <cellStyle name="40% - Accent3 6 2 3" xfId="679" xr:uid="{512E01DC-3AE9-4B57-8CFB-C6F82CFBFB89}"/>
    <cellStyle name="40% - Accent3 6 2 3 2" xfId="7454" xr:uid="{A77BFF5B-26CE-48F7-96E1-A3A6BA204809}"/>
    <cellStyle name="40% - Accent3 6 2 4" xfId="4171" xr:uid="{2007182A-4514-4393-807A-3BC9C4ED39F4}"/>
    <cellStyle name="40% - Accent3 6 2 5" xfId="7452" xr:uid="{D04ACC3C-7BF3-4C07-8ACA-B80409B3F607}"/>
    <cellStyle name="40% - Accent3 6 3" xfId="680" xr:uid="{1C2CD188-7B9F-4907-9B0C-8633FB2180B3}"/>
    <cellStyle name="40% - Accent3 6 4" xfId="4172" xr:uid="{35D05DB0-6B08-4503-AF4B-59203B4DBC3D}"/>
    <cellStyle name="40% - Accent3 6 5" xfId="4173" xr:uid="{F981FBED-95F0-459F-91EC-69302FC21423}"/>
    <cellStyle name="40% - Accent3 6 6" xfId="4174" xr:uid="{26BDD293-DA2B-4FC4-88AD-457C76736300}"/>
    <cellStyle name="40% - Accent3 6 7" xfId="4175" xr:uid="{FE484647-AF68-4A99-918D-6C774A627FAF}"/>
    <cellStyle name="40% - Accent3 7" xfId="681" xr:uid="{99CC0B05-87A7-467D-966E-BD14D4A9429F}"/>
    <cellStyle name="40% - Accent3 7 2" xfId="682" xr:uid="{DE99338E-2E25-45D3-8A0C-02316CD3DA35}"/>
    <cellStyle name="40% - Accent3 7 2 2" xfId="683" xr:uid="{178EBFD2-76E1-4D6B-AEB2-DC1DDD36FACA}"/>
    <cellStyle name="40% - Accent3 7 2 2 2" xfId="7456" xr:uid="{2AE0BD57-E3AC-4F3E-BD40-D75C215C3137}"/>
    <cellStyle name="40% - Accent3 7 2 3" xfId="684" xr:uid="{A2778BE3-155F-4D0E-A5AB-328036952B66}"/>
    <cellStyle name="40% - Accent3 7 2 3 2" xfId="7457" xr:uid="{1F2BBD03-F10B-4D67-8119-C0D981FFF741}"/>
    <cellStyle name="40% - Accent3 7 2 4" xfId="4176" xr:uid="{AA3199CD-BECE-426C-902D-A77FEF4B7B78}"/>
    <cellStyle name="40% - Accent3 7 2 5" xfId="7455" xr:uid="{BB00DD69-8752-4060-A58E-48649EBC4DC8}"/>
    <cellStyle name="40% - Accent3 7 3" xfId="685" xr:uid="{4C128589-9F92-42B9-8E13-B6B5CE3EC7E7}"/>
    <cellStyle name="40% - Accent3 7 4" xfId="4177" xr:uid="{4F6660E2-FCE0-41C8-8ED8-E434F14798DE}"/>
    <cellStyle name="40% - Accent3 7 5" xfId="4178" xr:uid="{87722FBA-3114-4708-958A-0A813F09B907}"/>
    <cellStyle name="40% - Accent3 7 6" xfId="4179" xr:uid="{9B1D2DF7-73A9-4B33-BA54-C5C1704984A5}"/>
    <cellStyle name="40% - Accent3 7 7" xfId="4180" xr:uid="{47FE8F59-791E-44DD-83A6-A367B5B6D209}"/>
    <cellStyle name="40% - Accent3 8" xfId="686" xr:uid="{DB87C996-05DE-4C87-BBC5-2AA179C5529D}"/>
    <cellStyle name="40% - Accent3 8 2" xfId="687" xr:uid="{71392112-3116-4233-8C5E-B49F72C7A41D}"/>
    <cellStyle name="40% - Accent3 8 2 2" xfId="688" xr:uid="{D08E2D52-F1AF-4595-A430-3CD49E35941D}"/>
    <cellStyle name="40% - Accent3 8 2 2 2" xfId="7459" xr:uid="{DFE71F16-B5F1-466C-8B23-F2DD260A5738}"/>
    <cellStyle name="40% - Accent3 8 2 3" xfId="689" xr:uid="{E363E2CE-49AF-43EE-8B9A-C53C4AEFB6A6}"/>
    <cellStyle name="40% - Accent3 8 2 3 2" xfId="7460" xr:uid="{363ECE91-532B-4FA7-A607-152041C0DF8D}"/>
    <cellStyle name="40% - Accent3 8 2 4" xfId="4181" xr:uid="{FE979218-75B9-47B9-BD0F-1BAC1921D3E3}"/>
    <cellStyle name="40% - Accent3 8 2 5" xfId="7458" xr:uid="{FFA0D2EB-AB09-49DD-8533-3FB1C9482937}"/>
    <cellStyle name="40% - Accent3 8 3" xfId="690" xr:uid="{7A2D6B01-79A4-4378-BE28-FA2FC3E7E7F1}"/>
    <cellStyle name="40% - Accent3 8 4" xfId="4182" xr:uid="{6A522672-8908-4F6B-80DE-1A457DA280D4}"/>
    <cellStyle name="40% - Accent3 8 5" xfId="4183" xr:uid="{8B91A45D-2136-484B-A6C6-9A15C9F9138D}"/>
    <cellStyle name="40% - Accent3 8 6" xfId="4184" xr:uid="{29D24672-BB86-430A-9489-4A1923642F97}"/>
    <cellStyle name="40% - Accent3 8 7" xfId="4185" xr:uid="{89193191-DED4-4E22-8333-03F9DB19FB99}"/>
    <cellStyle name="40% - Accent3 9" xfId="691" xr:uid="{583FB187-CAFF-4413-B33E-A18A5690525D}"/>
    <cellStyle name="40% - Accent3 9 2" xfId="692" xr:uid="{CCDD32D6-EBAB-49B4-AD64-1FE6F2083376}"/>
    <cellStyle name="40% - Accent3 9 2 2" xfId="693" xr:uid="{743188DC-CB8F-434C-AFCF-DB0B9DAE4F5E}"/>
    <cellStyle name="40% - Accent3 9 2 2 2" xfId="7462" xr:uid="{E2341CB4-1720-4265-8221-A44442903246}"/>
    <cellStyle name="40% - Accent3 9 2 3" xfId="694" xr:uid="{D6358515-B6D3-4684-A5A2-CC7AD6E09772}"/>
    <cellStyle name="40% - Accent3 9 2 3 2" xfId="7463" xr:uid="{239DBC0E-6F5E-4BFF-8278-B33021C410C3}"/>
    <cellStyle name="40% - Accent3 9 2 4" xfId="4186" xr:uid="{B30D7944-3938-4304-B7E1-743140F8AAB5}"/>
    <cellStyle name="40% - Accent3 9 2 5" xfId="7461" xr:uid="{589964CB-190C-4C42-B190-C3C815BE9D56}"/>
    <cellStyle name="40% - Accent3 9 3" xfId="695" xr:uid="{01534E18-64AA-4864-BC54-F03240E1FF28}"/>
    <cellStyle name="40% - Accent3 9 4" xfId="4187" xr:uid="{69DED7E4-DD6B-4B6F-83CB-DC59F6361D48}"/>
    <cellStyle name="40% - Accent3 9 5" xfId="4188" xr:uid="{EAC76973-A660-4ED7-B052-82FFA58511E5}"/>
    <cellStyle name="40% - Accent3 9 6" xfId="4189" xr:uid="{3687B81D-22F2-4EE1-82FA-21F49D4C3FB0}"/>
    <cellStyle name="40% - Accent3 9 7" xfId="4190" xr:uid="{0A61F668-3BCF-4F6A-835C-10E4FB32CD73}"/>
    <cellStyle name="40% - Accent4 10" xfId="696" xr:uid="{EA9832DA-4101-47A3-AC13-9DFEA8234E39}"/>
    <cellStyle name="40% - Accent4 10 2" xfId="697" xr:uid="{D5802DC4-B927-4FBD-B323-3E7DAF1ACDC9}"/>
    <cellStyle name="40% - Accent4 10 2 2" xfId="698" xr:uid="{5E94CBE7-0E20-457B-8F0F-3FCB9ED69AE8}"/>
    <cellStyle name="40% - Accent4 10 2 2 2" xfId="7465" xr:uid="{B523E60F-7885-4BE6-AC56-2D9802D76EF5}"/>
    <cellStyle name="40% - Accent4 10 2 3" xfId="699" xr:uid="{BAE1FC14-85B4-4911-A3F5-CCB902B6AE0B}"/>
    <cellStyle name="40% - Accent4 10 2 3 2" xfId="7466" xr:uid="{122DB12D-B9E6-4E6F-8EA8-850F1FAE167E}"/>
    <cellStyle name="40% - Accent4 10 2 4" xfId="4191" xr:uid="{B94506A9-084F-4239-BFB2-CA595501BF0C}"/>
    <cellStyle name="40% - Accent4 10 2 5" xfId="7464" xr:uid="{C8B0545D-BD0D-429C-A5E1-150C38120D83}"/>
    <cellStyle name="40% - Accent4 10 3" xfId="700" xr:uid="{1CCAB9B3-4B2C-4CF2-B9E9-C64B9100B964}"/>
    <cellStyle name="40% - Accent4 10 3 2" xfId="4192" xr:uid="{463577FD-FB8E-40BE-B16E-A53373A14CA9}"/>
    <cellStyle name="40% - Accent4 10 4" xfId="4193" xr:uid="{FF279191-5391-4417-9E2A-35A8C1538448}"/>
    <cellStyle name="40% - Accent4 10 5" xfId="4194" xr:uid="{87D97880-BAD1-4FE3-8FBD-4F29437F25EE}"/>
    <cellStyle name="40% - Accent4 10 6" xfId="4195" xr:uid="{3AC46465-C38B-450F-B3DE-691F3C30EBB8}"/>
    <cellStyle name="40% - Accent4 10 7" xfId="4196" xr:uid="{B206A6CA-C45C-445A-BC88-16DD4543A682}"/>
    <cellStyle name="40% - Accent4 11" xfId="701" xr:uid="{92180446-AEF9-438F-9D0D-FB8FAE9CFCFF}"/>
    <cellStyle name="40% - Accent4 11 2" xfId="702" xr:uid="{431F0E8F-08B9-4F24-8476-778514281032}"/>
    <cellStyle name="40% - Accent4 11 2 2" xfId="703" xr:uid="{6E1989E6-5DF0-40A5-999E-70B414EB2FD4}"/>
    <cellStyle name="40% - Accent4 11 2 2 2" xfId="7468" xr:uid="{C40840A6-7A1C-4663-8382-9017C709BD6A}"/>
    <cellStyle name="40% - Accent4 11 2 3" xfId="704" xr:uid="{F4DEC989-297A-43CC-AD1E-D9AC8F0356AE}"/>
    <cellStyle name="40% - Accent4 11 2 3 2" xfId="7469" xr:uid="{0D26F8C2-9892-4EE1-A1F0-D94715A3F363}"/>
    <cellStyle name="40% - Accent4 11 2 4" xfId="4197" xr:uid="{7955DB6F-5386-42E0-9761-4B022D12209D}"/>
    <cellStyle name="40% - Accent4 11 2 5" xfId="7467" xr:uid="{141C8101-5DC2-4634-946E-39B202C6BBA7}"/>
    <cellStyle name="40% - Accent4 11 3" xfId="705" xr:uid="{9BA3DA54-D414-4267-B052-267E9A62805E}"/>
    <cellStyle name="40% - Accent4 11 3 2" xfId="4198" xr:uid="{697DC6F5-92AC-4D5B-B55E-2928A5D651F2}"/>
    <cellStyle name="40% - Accent4 11 4" xfId="4199" xr:uid="{3AA4C9F6-50EE-4FB5-A8D5-162EFE18C975}"/>
    <cellStyle name="40% - Accent4 11 5" xfId="4200" xr:uid="{8218224D-B42B-4EF0-B8FA-06A7A1A2A8D5}"/>
    <cellStyle name="40% - Accent4 11 6" xfId="4201" xr:uid="{3233B678-5A4B-403A-A098-C1B552380397}"/>
    <cellStyle name="40% - Accent4 11 7" xfId="4202" xr:uid="{8963A18F-1404-4329-B71E-B370312D644A}"/>
    <cellStyle name="40% - Accent4 12" xfId="706" xr:uid="{F460800B-4E2A-443E-83B6-EB1CC55960F6}"/>
    <cellStyle name="40% - Accent4 12 2" xfId="707" xr:uid="{AEADECE8-E491-4052-83B3-5733A00C98D0}"/>
    <cellStyle name="40% - Accent4 12 2 2" xfId="708" xr:uid="{63F62BC6-1400-4458-B007-AB0FE88D3A78}"/>
    <cellStyle name="40% - Accent4 12 2 2 2" xfId="7471" xr:uid="{0D527CE0-7FDD-4980-B6A7-976EE78A4397}"/>
    <cellStyle name="40% - Accent4 12 2 3" xfId="709" xr:uid="{1380A454-A22D-4A82-ADC9-C4CC3144C4F3}"/>
    <cellStyle name="40% - Accent4 12 2 3 2" xfId="7472" xr:uid="{8512ECF4-EAED-4BD0-9518-DCA8363EBB54}"/>
    <cellStyle name="40% - Accent4 12 2 4" xfId="4203" xr:uid="{830EDCA1-4E09-4F0D-9EC8-3286E0277453}"/>
    <cellStyle name="40% - Accent4 12 2 5" xfId="7470" xr:uid="{7B260452-E664-4CF2-8B1A-DD43F5524DBF}"/>
    <cellStyle name="40% - Accent4 12 3" xfId="710" xr:uid="{F3D14518-9B11-493E-820E-63D9A02AA543}"/>
    <cellStyle name="40% - Accent4 12 3 2" xfId="4204" xr:uid="{C85550A3-5F2B-477A-AC8D-55F7275986BE}"/>
    <cellStyle name="40% - Accent4 12 4" xfId="4205" xr:uid="{CD684ABF-807D-4757-95D0-3930E378DE06}"/>
    <cellStyle name="40% - Accent4 12 5" xfId="4206" xr:uid="{B24F3D73-0E0A-4F15-AA25-C590E613558B}"/>
    <cellStyle name="40% - Accent4 12 6" xfId="4207" xr:uid="{5595E708-AB7F-41F5-99C8-3E258D4AFDC8}"/>
    <cellStyle name="40% - Accent4 12 7" xfId="4208" xr:uid="{36F20AF3-1667-44BF-985F-93DC2ED34CBC}"/>
    <cellStyle name="40% - Accent4 13" xfId="711" xr:uid="{A18E6BE2-BF3F-41E8-A83E-E1A730990985}"/>
    <cellStyle name="40% - Accent4 13 2" xfId="712" xr:uid="{CB90DE18-07CA-4EDB-BC12-C7FAB158C4DB}"/>
    <cellStyle name="40% - Accent4 13 2 2" xfId="4209" xr:uid="{4C4A2842-B8A8-49BC-842C-464F63949D88}"/>
    <cellStyle name="40% - Accent4 14" xfId="713" xr:uid="{8CD3C411-F6DE-490B-8193-AF08F94BA3A9}"/>
    <cellStyle name="40% - Accent4 14 2" xfId="714" xr:uid="{CDEA4F1E-04DC-4C4A-8A22-0C66A8BAA981}"/>
    <cellStyle name="40% - Accent4 14 2 2" xfId="4210" xr:uid="{22C54CB0-68E4-4FD5-8A1E-985EDE982F62}"/>
    <cellStyle name="40% - Accent4 15" xfId="715" xr:uid="{C347CB2C-7377-4599-AB4A-0795527AFD72}"/>
    <cellStyle name="40% - Accent4 15 2" xfId="716" xr:uid="{5C792091-0EB9-433F-B5C0-8D88AB449271}"/>
    <cellStyle name="40% - Accent4 15 2 2" xfId="4211" xr:uid="{37634C3A-19B9-469B-BA9B-E4AB1DC6E508}"/>
    <cellStyle name="40% - Accent4 16" xfId="717" xr:uid="{5D0CEA77-2F71-474A-8D03-0E538A9DA5FB}"/>
    <cellStyle name="40% - Accent4 16 2" xfId="718" xr:uid="{9E198DBA-DA47-402E-BCA3-B7496C00F673}"/>
    <cellStyle name="40% - Accent4 16 2 2" xfId="4212" xr:uid="{90CCC08B-B8E8-42FE-A878-512759D91DD0}"/>
    <cellStyle name="40% - Accent4 17" xfId="719" xr:uid="{5EB9991A-7B9B-43CC-9794-C5ADE6E992A4}"/>
    <cellStyle name="40% - Accent4 17 2" xfId="720" xr:uid="{9C7AC135-5D0E-4BB8-940B-17E248E29DE0}"/>
    <cellStyle name="40% - Accent4 17 2 2" xfId="4213" xr:uid="{DE4E4437-27A3-46C4-A928-57661E685BEE}"/>
    <cellStyle name="40% - Accent4 18" xfId="721" xr:uid="{B4932674-4341-4483-B22C-D233F7339284}"/>
    <cellStyle name="40% - Accent4 18 2" xfId="722" xr:uid="{EAE8B907-899F-472B-999B-2068E79B570D}"/>
    <cellStyle name="40% - Accent4 18 2 2" xfId="4214" xr:uid="{D8B1E53F-8A7B-44D8-8313-69C1372F4AC3}"/>
    <cellStyle name="40% - Accent4 19" xfId="723" xr:uid="{1BA746D1-968B-44D2-9F05-472E06F8AD28}"/>
    <cellStyle name="40% - Accent4 19 2" xfId="724" xr:uid="{E46695EC-603C-4C90-B004-6E481BE3FDFB}"/>
    <cellStyle name="40% - Accent4 19 2 2" xfId="4215" xr:uid="{944DD469-14DC-4F18-BD3E-962796E41794}"/>
    <cellStyle name="40% - Accent4 2" xfId="725" xr:uid="{8ED4F78F-657C-42D9-B3DE-FF89F85ABCA3}"/>
    <cellStyle name="40% - Accent4 2 2" xfId="726" xr:uid="{5BBBD250-0BE6-4C8D-A9F1-81B07AF8150D}"/>
    <cellStyle name="40% - Accent4 2 2 2" xfId="727" xr:uid="{60E9860C-87F5-4809-BF84-26ABAF82060B}"/>
    <cellStyle name="40% - Accent4 2 2 2 2" xfId="728" xr:uid="{68E2889D-D7E4-4ED0-B5AE-A4626CBD86DA}"/>
    <cellStyle name="40% - Accent4 2 2 2 2 2" xfId="7475" xr:uid="{69D38847-8BFB-4D9D-BA8E-1FF8805D6A92}"/>
    <cellStyle name="40% - Accent4 2 2 2 3" xfId="729" xr:uid="{104ECB81-B2D3-4126-9815-28BA053C7DE5}"/>
    <cellStyle name="40% - Accent4 2 2 2 3 2" xfId="7476" xr:uid="{E4C673CA-245E-4AA3-A4A8-A1654E184FF7}"/>
    <cellStyle name="40% - Accent4 2 2 2 4" xfId="7474" xr:uid="{C79A5946-B908-44B0-A91A-6D42B5D0E04D}"/>
    <cellStyle name="40% - Accent4 2 2 3" xfId="730" xr:uid="{C25D11A3-E974-45D6-A925-0F432B95A196}"/>
    <cellStyle name="40% - Accent4 2 2 3 2" xfId="7477" xr:uid="{1A9C649A-F48C-425D-A1ED-B162DB7221AA}"/>
    <cellStyle name="40% - Accent4 2 2 4" xfId="731" xr:uid="{A71E233C-CC35-4B71-9C99-015168A73E44}"/>
    <cellStyle name="40% - Accent4 2 2 4 2" xfId="7478" xr:uid="{47D5C8CF-A39C-40C1-B738-374003A3E7B6}"/>
    <cellStyle name="40% - Accent4 2 2 5" xfId="3420" xr:uid="{D4B3A574-AA73-4872-B768-F2D5ACF1E5F8}"/>
    <cellStyle name="40% - Accent4 2 2 6" xfId="7473" xr:uid="{582E03E3-DD6F-402C-AE0C-8A7C23006C91}"/>
    <cellStyle name="40% - Accent4 2 3" xfId="732" xr:uid="{B19306A2-844A-4432-BC76-FE650173D11F}"/>
    <cellStyle name="40% - Accent4 2 3 2" xfId="3463" xr:uid="{05BA6427-19C2-4E07-9BC2-612DCAE9AD82}"/>
    <cellStyle name="40% - Accent4 2 3 3" xfId="7767" xr:uid="{239004DD-F730-4DDE-A11A-E99DC1BADCEF}"/>
    <cellStyle name="40% - Accent4 2 4" xfId="4216" xr:uid="{773872B2-3E2B-4C19-A37B-7F2FDA3A52DF}"/>
    <cellStyle name="40% - Accent4 2 5" xfId="4217" xr:uid="{AD823B59-D86D-4B8F-94DD-B958059CE401}"/>
    <cellStyle name="40% - Accent4 2 6" xfId="4218" xr:uid="{B0975D60-2AC2-4118-B5A0-92E5B81EF5C0}"/>
    <cellStyle name="40% - Accent4 2 7" xfId="4219" xr:uid="{11C82316-C576-42D4-BC92-637714DD81A7}"/>
    <cellStyle name="40% - Accent4 2 8" xfId="3384" xr:uid="{212CE011-8F2F-4E86-BA39-1D6EE33A1D52}"/>
    <cellStyle name="40% - Accent4 2 9" xfId="7735" xr:uid="{54D39130-00FC-4313-A8D9-A536CB6E6108}"/>
    <cellStyle name="40% - Accent4 20" xfId="733" xr:uid="{826B2D6B-DA37-4461-93F5-222C0514D2BD}"/>
    <cellStyle name="40% - Accent4 20 2" xfId="734" xr:uid="{5089C068-3295-4202-9086-8346B0428822}"/>
    <cellStyle name="40% - Accent4 20 2 2" xfId="4220" xr:uid="{0FD96855-5862-44E6-A48F-D9D1A1F7C32F}"/>
    <cellStyle name="40% - Accent4 21" xfId="735" xr:uid="{6A01AD69-5BCD-4072-945D-EB325CD81124}"/>
    <cellStyle name="40% - Accent4 21 2" xfId="736" xr:uid="{FF00C570-6E5F-4B02-9A12-890ECD2EA593}"/>
    <cellStyle name="40% - Accent4 21 2 2" xfId="4221" xr:uid="{16C2EFD7-C814-4D0A-9A71-0C81E4C3C18C}"/>
    <cellStyle name="40% - Accent4 22" xfId="737" xr:uid="{3B3EB6F5-6569-4C3F-8DB0-FFE59BDB3BFA}"/>
    <cellStyle name="40% - Accent4 22 2" xfId="738" xr:uid="{0B18D570-9A9C-4B85-8565-D8017026B585}"/>
    <cellStyle name="40% - Accent4 23" xfId="739" xr:uid="{3AFF955E-E7E8-4CAE-87C2-788D41D97E9B}"/>
    <cellStyle name="40% - Accent4 23 2" xfId="740" xr:uid="{BAE752CC-B476-4C4F-B0E8-BDDEDE02096A}"/>
    <cellStyle name="40% - Accent4 24" xfId="741" xr:uid="{76C5F90D-BF6C-45BD-B448-B18826C3A0E7}"/>
    <cellStyle name="40% - Accent4 24 2" xfId="742" xr:uid="{0217EB6F-593B-41ED-A423-8C19BC3099AB}"/>
    <cellStyle name="40% - Accent4 25" xfId="743" xr:uid="{8F68AB49-E27F-4F58-A2E5-AEB1B31F3B92}"/>
    <cellStyle name="40% - Accent4 26" xfId="744" xr:uid="{A2F9D53C-3425-4370-B5CE-ED0C3680CF95}"/>
    <cellStyle name="40% - Accent4 26 2" xfId="7479" xr:uid="{66A5FF41-FC10-4BE3-AAA2-D541FAF3FB20}"/>
    <cellStyle name="40% - Accent4 27" xfId="7719" xr:uid="{1E2252CA-736B-4097-982D-1A462D5E7A15}"/>
    <cellStyle name="40% - Accent4 3" xfId="745" xr:uid="{5FDD308A-5A34-4303-89C1-8C11E3959916}"/>
    <cellStyle name="40% - Accent4 3 2" xfId="746" xr:uid="{D1F980FA-03B1-4CD3-BD81-E8CD69210369}"/>
    <cellStyle name="40% - Accent4 3 2 2" xfId="747" xr:uid="{25DA36C0-C8FF-435C-BDAC-09C310E953A4}"/>
    <cellStyle name="40% - Accent4 3 2 2 2" xfId="7481" xr:uid="{B657BCD8-D496-46B0-B844-4D6EBBB5EA37}"/>
    <cellStyle name="40% - Accent4 3 2 3" xfId="748" xr:uid="{676A06F8-09A3-4D07-9AAC-BCB7A731D5ED}"/>
    <cellStyle name="40% - Accent4 3 2 3 2" xfId="7482" xr:uid="{C2E2D395-A514-4FE8-9238-12BA5D45A817}"/>
    <cellStyle name="40% - Accent4 3 2 4" xfId="4222" xr:uid="{3853B05D-51EC-4C5D-8171-8672B3F72991}"/>
    <cellStyle name="40% - Accent4 3 2 5" xfId="7480" xr:uid="{E1B0D497-C166-41A4-A28D-1BF6516EC327}"/>
    <cellStyle name="40% - Accent4 3 3" xfId="749" xr:uid="{E7317BA4-8957-485D-AD61-02A04E91D294}"/>
    <cellStyle name="40% - Accent4 3 3 2" xfId="4223" xr:uid="{4448D0FC-474B-4E14-B715-8D4AEECF8B58}"/>
    <cellStyle name="40% - Accent4 3 4" xfId="4224" xr:uid="{475CFB9D-4947-4C5E-ADA7-8B5B194F737A}"/>
    <cellStyle name="40% - Accent4 3 5" xfId="4225" xr:uid="{CF067F58-54FF-41DF-BAC8-F594B0E708DE}"/>
    <cellStyle name="40% - Accent4 3 6" xfId="4226" xr:uid="{2BB23209-6F2F-4E83-BD61-DD50B13BA84D}"/>
    <cellStyle name="40% - Accent4 3 7" xfId="4227" xr:uid="{D73B1F37-8730-448F-8DFF-A597B99FBF5B}"/>
    <cellStyle name="40% - Accent4 3 8" xfId="3407" xr:uid="{FC3B983C-386F-46DB-AA08-455A94F27DD4}"/>
    <cellStyle name="40% - Accent4 3 9" xfId="7749" xr:uid="{3BE8CB07-FAF4-4D08-B2F8-92BCEC3EE8EF}"/>
    <cellStyle name="40% - Accent4 4" xfId="750" xr:uid="{96C19D4E-3DAC-473E-8219-20C6930AB81B}"/>
    <cellStyle name="40% - Accent4 4 2" xfId="751" xr:uid="{DB617103-78AD-471D-A322-188E32BAAEE2}"/>
    <cellStyle name="40% - Accent4 4 2 2" xfId="752" xr:uid="{C76D8219-E4D8-4A11-9079-D9586D8ED793}"/>
    <cellStyle name="40% - Accent4 4 2 2 2" xfId="7484" xr:uid="{273EEF55-9122-4C95-80A0-34ED94E1989D}"/>
    <cellStyle name="40% - Accent4 4 2 3" xfId="753" xr:uid="{ACA122E3-0512-4091-B009-2F7F11560369}"/>
    <cellStyle name="40% - Accent4 4 2 3 2" xfId="7485" xr:uid="{F4FF2EE9-F0E5-4485-B9CB-878807CFC9C9}"/>
    <cellStyle name="40% - Accent4 4 2 4" xfId="4229" xr:uid="{6F9D7F8C-D5D2-4ED0-812A-D576A4E68B19}"/>
    <cellStyle name="40% - Accent4 4 2 5" xfId="7483" xr:uid="{C55C83EA-1330-4E9A-8AAC-59E7737E690D}"/>
    <cellStyle name="40% - Accent4 4 3" xfId="754" xr:uid="{796BAC5D-4C01-4050-8FC1-B3937F5F0EE4}"/>
    <cellStyle name="40% - Accent4 4 3 2" xfId="4230" xr:uid="{437F00B7-F69A-4CA2-AFD9-4CE116D05A76}"/>
    <cellStyle name="40% - Accent4 4 4" xfId="4231" xr:uid="{BCFCE727-72F4-43FE-82BF-E750F7696B53}"/>
    <cellStyle name="40% - Accent4 4 5" xfId="4232" xr:uid="{52587B44-84B8-44FD-B60E-9F30EC7B9086}"/>
    <cellStyle name="40% - Accent4 4 6" xfId="4233" xr:uid="{C2810849-E729-47CD-BB2B-680101E48673}"/>
    <cellStyle name="40% - Accent4 4 7" xfId="4234" xr:uid="{2BD392FA-7EC9-4EE7-B262-C5101FB5575F}"/>
    <cellStyle name="40% - Accent4 4 8" xfId="4228" xr:uid="{96284DF1-0A8C-4171-959E-4E6C3DD6761F}"/>
    <cellStyle name="40% - Accent4 5" xfId="755" xr:uid="{5930C509-1EEB-4285-BAEA-0BC74869149A}"/>
    <cellStyle name="40% - Accent4 5 2" xfId="756" xr:uid="{3798722A-9292-4A39-A667-3BC427A88692}"/>
    <cellStyle name="40% - Accent4 5 2 2" xfId="757" xr:uid="{F119EAE6-4597-4710-884A-53ECDF8EEE42}"/>
    <cellStyle name="40% - Accent4 5 2 2 2" xfId="7487" xr:uid="{4E5C784F-55B1-4BFC-8AFD-D2F626E07189}"/>
    <cellStyle name="40% - Accent4 5 2 3" xfId="758" xr:uid="{1A4ADBC7-DEE8-4509-8BA8-052E4C08BE91}"/>
    <cellStyle name="40% - Accent4 5 2 3 2" xfId="7488" xr:uid="{94D20429-F6B1-4A45-8BED-62A7B2A0D273}"/>
    <cellStyle name="40% - Accent4 5 2 4" xfId="4236" xr:uid="{457E7A49-C587-442A-BED9-0D5A8F436780}"/>
    <cellStyle name="40% - Accent4 5 2 5" xfId="7486" xr:uid="{273E8DDA-CF44-4B21-A4FC-BBB7C794994E}"/>
    <cellStyle name="40% - Accent4 5 3" xfId="759" xr:uid="{BF04367F-1201-4D83-A853-A7DDF6501F8F}"/>
    <cellStyle name="40% - Accent4 5 3 2" xfId="4237" xr:uid="{54F96B94-A300-4CA9-9FA0-254F11334A03}"/>
    <cellStyle name="40% - Accent4 5 4" xfId="4238" xr:uid="{3DACA1A9-3FDB-4D0D-ADB5-A7D3C10D7929}"/>
    <cellStyle name="40% - Accent4 5 5" xfId="4239" xr:uid="{1830CD73-D05B-40B2-9056-9D07715364E2}"/>
    <cellStyle name="40% - Accent4 5 6" xfId="4240" xr:uid="{870567FA-AD30-4149-87B4-5C1BC3B2ABFA}"/>
    <cellStyle name="40% - Accent4 5 7" xfId="4241" xr:uid="{A09B8631-ED79-44FA-8497-88FF90762394}"/>
    <cellStyle name="40% - Accent4 5 8" xfId="4235" xr:uid="{FB800D5B-6789-49AC-971F-F0369162578D}"/>
    <cellStyle name="40% - Accent4 6" xfId="760" xr:uid="{D95C8881-60BC-4E93-A90C-6AD5754135DC}"/>
    <cellStyle name="40% - Accent4 6 2" xfId="761" xr:uid="{BF56B66F-DFB5-482B-9DE7-69E93FEAE610}"/>
    <cellStyle name="40% - Accent4 6 2 2" xfId="762" xr:uid="{D59E7634-1882-4CEE-AB98-80D85E4CF74B}"/>
    <cellStyle name="40% - Accent4 6 2 2 2" xfId="7490" xr:uid="{103EAFF3-859B-4A04-9AC5-E2DC5907072D}"/>
    <cellStyle name="40% - Accent4 6 2 3" xfId="763" xr:uid="{0EE3280D-85EF-40FB-BEF3-B4F437D51E61}"/>
    <cellStyle name="40% - Accent4 6 2 3 2" xfId="7491" xr:uid="{0D0828C4-243B-4963-95F9-6B9D39D602E1}"/>
    <cellStyle name="40% - Accent4 6 2 4" xfId="4242" xr:uid="{D2CC8FD3-6252-49CE-8DA4-66C2A1A2E2CE}"/>
    <cellStyle name="40% - Accent4 6 2 5" xfId="7489" xr:uid="{4FEFE072-6386-406C-993A-80C2A186655E}"/>
    <cellStyle name="40% - Accent4 6 3" xfId="764" xr:uid="{651EF3A1-6579-4320-8AE9-7CC9248386CB}"/>
    <cellStyle name="40% - Accent4 6 3 2" xfId="4243" xr:uid="{E52917AC-55C8-475F-B50C-C7CC834DD764}"/>
    <cellStyle name="40% - Accent4 6 4" xfId="4244" xr:uid="{F7327419-F1F6-4362-BC86-F62C9F28789F}"/>
    <cellStyle name="40% - Accent4 6 5" xfId="4245" xr:uid="{9269B4FA-BBC0-4C25-AF37-AB996BBD8609}"/>
    <cellStyle name="40% - Accent4 6 6" xfId="4246" xr:uid="{9644D84C-3DA5-4B5A-A483-B3F1B1BE3E76}"/>
    <cellStyle name="40% - Accent4 6 7" xfId="4247" xr:uid="{48EAF047-0B70-41F1-8EAC-13E92364C8F3}"/>
    <cellStyle name="40% - Accent4 7" xfId="765" xr:uid="{15DADFB2-EBD4-47FD-B673-44FC75BFC7E2}"/>
    <cellStyle name="40% - Accent4 7 2" xfId="766" xr:uid="{FAC558CA-21C6-462A-BFC0-4C91B32CA5A3}"/>
    <cellStyle name="40% - Accent4 7 2 2" xfId="767" xr:uid="{37ABE5F2-6D9D-4905-AC9A-D302960C11DC}"/>
    <cellStyle name="40% - Accent4 7 2 2 2" xfId="7493" xr:uid="{0CD32559-1FDF-483D-8DBC-D6806FDA5008}"/>
    <cellStyle name="40% - Accent4 7 2 3" xfId="768" xr:uid="{12A66323-C206-4D7E-A8B0-05D97673DF93}"/>
    <cellStyle name="40% - Accent4 7 2 3 2" xfId="7494" xr:uid="{457B5F20-0A62-49D7-A430-DB6E94EBB008}"/>
    <cellStyle name="40% - Accent4 7 2 4" xfId="4248" xr:uid="{23827C14-25EB-4AD5-9201-09FA429FBA22}"/>
    <cellStyle name="40% - Accent4 7 2 5" xfId="7492" xr:uid="{6B651319-6D9B-4CD5-BAA0-EF04FF3FFE07}"/>
    <cellStyle name="40% - Accent4 7 3" xfId="769" xr:uid="{CCC0EC2C-5618-418B-90C7-DB161F7B1108}"/>
    <cellStyle name="40% - Accent4 7 3 2" xfId="4249" xr:uid="{B4FB11F3-24B7-4BD2-9129-60BB88C4F62E}"/>
    <cellStyle name="40% - Accent4 7 4" xfId="4250" xr:uid="{232907CC-B17E-499E-849F-893C7680A697}"/>
    <cellStyle name="40% - Accent4 7 5" xfId="4251" xr:uid="{B7D934D6-A60A-490B-9D26-6C2E5D79C68D}"/>
    <cellStyle name="40% - Accent4 7 6" xfId="4252" xr:uid="{BB637E96-77D9-443F-8A7D-EACFF893BC4A}"/>
    <cellStyle name="40% - Accent4 7 7" xfId="4253" xr:uid="{7A7CAE33-40F1-4401-8A63-59C63864CB89}"/>
    <cellStyle name="40% - Accent4 8" xfId="770" xr:uid="{6A43965C-1A99-4F21-92FA-ECFB02A13E09}"/>
    <cellStyle name="40% - Accent4 8 2" xfId="771" xr:uid="{9FE73CBF-3BE4-4935-9C47-BB9EBF3039CC}"/>
    <cellStyle name="40% - Accent4 8 2 2" xfId="772" xr:uid="{8725C10C-3BA7-485A-AD0A-AAE32DB82E99}"/>
    <cellStyle name="40% - Accent4 8 2 2 2" xfId="7496" xr:uid="{8A994518-D10A-4372-8C22-A259DE427302}"/>
    <cellStyle name="40% - Accent4 8 2 3" xfId="773" xr:uid="{DDE62B68-DA15-4A1E-B80D-4FB07FD709F1}"/>
    <cellStyle name="40% - Accent4 8 2 3 2" xfId="7497" xr:uid="{EB8241E0-523B-4972-9FD3-B50E600C3B32}"/>
    <cellStyle name="40% - Accent4 8 2 4" xfId="4254" xr:uid="{45A5F7B2-F88F-4F9E-8D50-CBED45E75FE8}"/>
    <cellStyle name="40% - Accent4 8 2 5" xfId="7495" xr:uid="{65D12CD2-920A-49F5-A0AD-DAD1022BFD67}"/>
    <cellStyle name="40% - Accent4 8 3" xfId="774" xr:uid="{ADA3798F-95C0-456C-A3FE-DD1301F03F4D}"/>
    <cellStyle name="40% - Accent4 8 3 2" xfId="4255" xr:uid="{A0BE4469-B7B5-4C8E-8C2D-00BFFEFD2DD0}"/>
    <cellStyle name="40% - Accent4 8 4" xfId="4256" xr:uid="{29AF9FBE-0EE0-4242-87B1-A5F93785EEF9}"/>
    <cellStyle name="40% - Accent4 8 5" xfId="4257" xr:uid="{60331237-D810-4AE0-819C-B9201F6915E9}"/>
    <cellStyle name="40% - Accent4 8 6" xfId="4258" xr:uid="{F70F73EF-5CE1-4671-8B3E-EAA896F3D1F0}"/>
    <cellStyle name="40% - Accent4 8 7" xfId="4259" xr:uid="{1F71821D-0DE0-4A3D-B661-A4139AD75AB0}"/>
    <cellStyle name="40% - Accent4 9" xfId="775" xr:uid="{408CDF0E-C922-4BFF-95B4-F2A07ACC91FE}"/>
    <cellStyle name="40% - Accent4 9 2" xfId="776" xr:uid="{BA6AE59A-C10F-4F97-AEAF-0901E2FE5043}"/>
    <cellStyle name="40% - Accent4 9 2 2" xfId="777" xr:uid="{F7135D18-F812-41A8-B063-E70766185975}"/>
    <cellStyle name="40% - Accent4 9 2 2 2" xfId="7499" xr:uid="{FA49304F-B85C-4AE3-B49F-78BA99AB87C3}"/>
    <cellStyle name="40% - Accent4 9 2 3" xfId="778" xr:uid="{ED3EEC1E-49B6-4145-AF24-F457F3EB8E93}"/>
    <cellStyle name="40% - Accent4 9 2 3 2" xfId="7500" xr:uid="{C13A8643-5B53-4360-97FB-D4F6D5727815}"/>
    <cellStyle name="40% - Accent4 9 2 4" xfId="4260" xr:uid="{753CE27C-BABB-43FD-A9DA-254D357DCE93}"/>
    <cellStyle name="40% - Accent4 9 2 5" xfId="7498" xr:uid="{4C29E6AB-EEFF-46AE-8969-DAE50DFC499B}"/>
    <cellStyle name="40% - Accent4 9 3" xfId="779" xr:uid="{20AC1A3D-5F4C-4D65-8E8D-9AC38DF20230}"/>
    <cellStyle name="40% - Accent4 9 3 2" xfId="4261" xr:uid="{6B746BA1-B8AD-435A-BB71-F02AD0C22CF1}"/>
    <cellStyle name="40% - Accent4 9 4" xfId="4262" xr:uid="{EC2FA373-4A32-4DC1-AFEA-6C431B116096}"/>
    <cellStyle name="40% - Accent4 9 5" xfId="4263" xr:uid="{8EB60800-8A9B-41CF-8094-B29BE9F971CA}"/>
    <cellStyle name="40% - Accent4 9 6" xfId="4264" xr:uid="{53B9D78F-14C1-4FB8-B309-6B23C6C443FF}"/>
    <cellStyle name="40% - Accent4 9 7" xfId="4265" xr:uid="{B76E5B3F-937A-455E-88F5-626C5B8BCCA1}"/>
    <cellStyle name="40% - Accent5 10" xfId="780" xr:uid="{0555AA46-3AF7-40C2-8444-619F061C46B8}"/>
    <cellStyle name="40% - Accent5 10 2" xfId="781" xr:uid="{F4BFF1A3-9799-4FE9-A163-3FDC6EBB6EB9}"/>
    <cellStyle name="40% - Accent5 10 2 2" xfId="4266" xr:uid="{EF1C0C14-D247-4376-B770-129BF031E8CD}"/>
    <cellStyle name="40% - Accent5 10 2 3" xfId="7502" xr:uid="{A70FD9C6-7413-445C-A002-2FA74AD6DCFA}"/>
    <cellStyle name="40% - Accent5 10 3" xfId="4267" xr:uid="{45A553AD-8ECC-45BD-9A14-37B18DAB139E}"/>
    <cellStyle name="40% - Accent5 10 4" xfId="4268" xr:uid="{FA22CD0A-FC80-4AAF-9936-B91D6E22C4D1}"/>
    <cellStyle name="40% - Accent5 10 5" xfId="4269" xr:uid="{113A7595-49B9-4AB9-9125-209C4B3AD9C4}"/>
    <cellStyle name="40% - Accent5 10 6" xfId="4270" xr:uid="{3A3FB73B-137C-46EC-9915-D0D9D85A25C2}"/>
    <cellStyle name="40% - Accent5 10 7" xfId="4271" xr:uid="{37378B6B-713F-465B-BC32-59C8D2EC6161}"/>
    <cellStyle name="40% - Accent5 10 8" xfId="7501" xr:uid="{00DA8164-E902-41B7-B5B9-BC28D6678B71}"/>
    <cellStyle name="40% - Accent5 11" xfId="782" xr:uid="{A6465249-3B5B-4E71-B55D-9540D1CDFB25}"/>
    <cellStyle name="40% - Accent5 11 2" xfId="783" xr:uid="{AFE56B54-6D6A-4380-BF48-668DDD34F639}"/>
    <cellStyle name="40% - Accent5 11 2 2" xfId="4272" xr:uid="{0D12AAA7-50E2-4616-9874-B2B936A9EB89}"/>
    <cellStyle name="40% - Accent5 11 2 3" xfId="7504" xr:uid="{9C5A80EB-0D17-43C6-8BDC-A5B5641C4E5E}"/>
    <cellStyle name="40% - Accent5 11 3" xfId="4273" xr:uid="{DEEB6D0D-ACB7-4D4A-AD43-64C653040E9A}"/>
    <cellStyle name="40% - Accent5 11 4" xfId="4274" xr:uid="{A168EB52-E8AC-4EDE-84F3-AD4ACCC9A835}"/>
    <cellStyle name="40% - Accent5 11 5" xfId="4275" xr:uid="{A8BC9416-7018-4DBA-B5B0-D5756630130C}"/>
    <cellStyle name="40% - Accent5 11 6" xfId="4276" xr:uid="{442C6732-2D48-4D10-9295-53F21F8A9795}"/>
    <cellStyle name="40% - Accent5 11 7" xfId="4277" xr:uid="{F5888903-10FE-40D5-AD4E-B656CAEC4A18}"/>
    <cellStyle name="40% - Accent5 11 8" xfId="7503" xr:uid="{5C249DC5-E3D2-4043-8449-7908A35522E3}"/>
    <cellStyle name="40% - Accent5 12" xfId="784" xr:uid="{2EF73DD2-10E2-4B5A-9746-5EBCF71C5CE5}"/>
    <cellStyle name="40% - Accent5 12 2" xfId="785" xr:uid="{B4A7638F-4384-4C1F-B8C6-36FBB8D7B61F}"/>
    <cellStyle name="40% - Accent5 12 2 2" xfId="4278" xr:uid="{5B976A05-CCC3-47A3-AE12-8B44FC0CB47E}"/>
    <cellStyle name="40% - Accent5 12 2 3" xfId="7506" xr:uid="{436F7171-8906-4CE8-842C-27F2623327B9}"/>
    <cellStyle name="40% - Accent5 12 3" xfId="4279" xr:uid="{6C6DE3EB-BD94-4E75-A84A-2255BF8F8353}"/>
    <cellStyle name="40% - Accent5 12 4" xfId="4280" xr:uid="{57B1F76C-30B9-41F6-8EC8-3C39CFDCE2A2}"/>
    <cellStyle name="40% - Accent5 12 5" xfId="4281" xr:uid="{2904BBA7-7CB6-4159-A811-3CA6A0B94BAC}"/>
    <cellStyle name="40% - Accent5 12 6" xfId="4282" xr:uid="{0D68E8A9-ABF2-4289-861A-72DD051947E7}"/>
    <cellStyle name="40% - Accent5 12 7" xfId="4283" xr:uid="{3AE98AD5-2A2C-4BB9-842F-849ACC89C44E}"/>
    <cellStyle name="40% - Accent5 12 8" xfId="7505" xr:uid="{EFBF29F4-8064-4EB8-B0DC-9ACA19CE983E}"/>
    <cellStyle name="40% - Accent5 13" xfId="786" xr:uid="{DBCCF79D-9DFF-4BF1-9D4E-6D621C37FA09}"/>
    <cellStyle name="40% - Accent5 13 2" xfId="4284" xr:uid="{9E5B0BDC-BF45-470F-A97F-8BD78B9D57B8}"/>
    <cellStyle name="40% - Accent5 14" xfId="7721" xr:uid="{BDA7FFAD-524C-492D-85C8-0A85DB0D56ED}"/>
    <cellStyle name="40% - Accent5 14 2" xfId="4285" xr:uid="{3A96AED3-68E2-48B5-A1E3-1F75A4A0BC31}"/>
    <cellStyle name="40% - Accent5 15 2" xfId="4286" xr:uid="{CAC824C4-E4A5-4C40-9C39-5E2FEDC85C60}"/>
    <cellStyle name="40% - Accent5 16 2" xfId="4287" xr:uid="{B9A7BDF3-7127-4DC9-A62D-F1B8BADF722E}"/>
    <cellStyle name="40% - Accent5 17 2" xfId="4288" xr:uid="{D06A180E-4C28-42D2-AF3D-A2FFA3E08DDA}"/>
    <cellStyle name="40% - Accent5 18 2" xfId="4289" xr:uid="{1268AD1F-D094-4613-8CB6-AC014AA9F1E7}"/>
    <cellStyle name="40% - Accent5 19 2" xfId="4290" xr:uid="{9475A7B6-CBD6-44ED-9BBA-9A508522CEEA}"/>
    <cellStyle name="40% - Accent5 2" xfId="787" xr:uid="{CB65C521-B211-4F2A-9308-3A76E7D0E1D5}"/>
    <cellStyle name="40% - Accent5 2 10" xfId="7737" xr:uid="{BC69DE29-7553-4B0A-8B97-FEB83C6F7AD7}"/>
    <cellStyle name="40% - Accent5 2 2" xfId="788" xr:uid="{7EDB5C46-C40B-41F4-9103-A3CB786FBC11}"/>
    <cellStyle name="40% - Accent5 2 2 2" xfId="789" xr:uid="{710D811E-AFFF-4DEB-9E21-B4A4FF9BFEF2}"/>
    <cellStyle name="40% - Accent5 2 2 2 2" xfId="7509" xr:uid="{A66932BB-6F7F-4C62-B934-9C2B8B6D168C}"/>
    <cellStyle name="40% - Accent5 2 2 3" xfId="3419" xr:uid="{D432884C-AB92-4E96-8029-A3D1AB398E7A}"/>
    <cellStyle name="40% - Accent5 2 2 4" xfId="7508" xr:uid="{B30A6F70-E06D-48A1-84F5-66BEF1558B50}"/>
    <cellStyle name="40% - Accent5 2 3" xfId="790" xr:uid="{DF6665E6-050A-49A6-B28C-27C87EE06237}"/>
    <cellStyle name="40% - Accent5 2 3 2" xfId="3465" xr:uid="{E5047683-95C3-4F27-B16F-0A8B9B95EE08}"/>
    <cellStyle name="40% - Accent5 2 3 3" xfId="7510" xr:uid="{B7EFDD19-BD54-4502-8F26-87EBA0B9D80A}"/>
    <cellStyle name="40% - Accent5 2 3 4" xfId="7769" xr:uid="{6F59C752-A098-4522-BBB2-F72783213713}"/>
    <cellStyle name="40% - Accent5 2 4" xfId="4291" xr:uid="{59649133-2AF5-4DE4-A0DF-349ED0571AF6}"/>
    <cellStyle name="40% - Accent5 2 5" xfId="4292" xr:uid="{34B1A0D6-8C79-48BE-938E-68E89E9ECA1A}"/>
    <cellStyle name="40% - Accent5 2 6" xfId="4293" xr:uid="{0F2429AB-EA3F-40DE-8D13-85958F5E709D}"/>
    <cellStyle name="40% - Accent5 2 7" xfId="4294" xr:uid="{91DC4426-CCC5-4EEC-B390-6E462D894CFB}"/>
    <cellStyle name="40% - Accent5 2 8" xfId="3386" xr:uid="{C7B50900-F9AB-432D-B65D-C87A182399D2}"/>
    <cellStyle name="40% - Accent5 2 9" xfId="7507" xr:uid="{1372504D-A578-4794-898C-654C2DC020A7}"/>
    <cellStyle name="40% - Accent5 20 2" xfId="4295" xr:uid="{D072F9F1-41FA-4CCD-844A-ACF03A7A91E4}"/>
    <cellStyle name="40% - Accent5 21 2" xfId="4296" xr:uid="{06E0ADEB-F96F-4AA9-A45D-D7B2CE44B2AE}"/>
    <cellStyle name="40% - Accent5 3" xfId="791" xr:uid="{1F50975A-5F93-4945-9B01-6C956B326A47}"/>
    <cellStyle name="40% - Accent5 3 10" xfId="7750" xr:uid="{B9B55D7D-EF8C-45EA-BDE7-79C4F423F747}"/>
    <cellStyle name="40% - Accent5 3 2" xfId="792" xr:uid="{29E7D4E6-F2B7-46C3-9056-0C72E150D61E}"/>
    <cellStyle name="40% - Accent5 3 2 2" xfId="4297" xr:uid="{5965B3A2-5376-4745-8D76-64C1F84A2C87}"/>
    <cellStyle name="40% - Accent5 3 2 3" xfId="7512" xr:uid="{4058E9F2-6ADE-4E9C-8486-E1712F9186A5}"/>
    <cellStyle name="40% - Accent5 3 3" xfId="4298" xr:uid="{FC61CB4D-42E1-4824-8C3E-E45373CE3C16}"/>
    <cellStyle name="40% - Accent5 3 4" xfId="4299" xr:uid="{30C1CB0A-B921-48B2-B851-7013B388EF19}"/>
    <cellStyle name="40% - Accent5 3 5" xfId="4300" xr:uid="{2EF74C40-5BF8-4409-9842-1DDDCB36CAE7}"/>
    <cellStyle name="40% - Accent5 3 6" xfId="4301" xr:uid="{18D6F00E-7506-4780-BB2B-57F5DB603A66}"/>
    <cellStyle name="40% - Accent5 3 7" xfId="4302" xr:uid="{AD5C54CC-23F8-4712-A65D-3587FD602AFE}"/>
    <cellStyle name="40% - Accent5 3 8" xfId="3409" xr:uid="{B6EF8D96-5B97-486A-B1BE-C5AE114016C1}"/>
    <cellStyle name="40% - Accent5 3 9" xfId="7511" xr:uid="{4C2A1C60-AABB-49D0-8B7D-CAD926EC170B}"/>
    <cellStyle name="40% - Accent5 4" xfId="793" xr:uid="{423B5E48-EA71-47C1-829B-2EF61877D755}"/>
    <cellStyle name="40% - Accent5 4 2" xfId="794" xr:uid="{1C1B3ADB-9F7D-4308-BD93-7D5D6AF4439F}"/>
    <cellStyle name="40% - Accent5 4 2 2" xfId="4304" xr:uid="{69760073-9475-436E-A17B-5237E3F08FBF}"/>
    <cellStyle name="40% - Accent5 4 2 3" xfId="7514" xr:uid="{F55BEBF3-03DF-4696-8273-214FE3A603E2}"/>
    <cellStyle name="40% - Accent5 4 3" xfId="4305" xr:uid="{C71EA718-344F-490A-A965-FEF80AAFC141}"/>
    <cellStyle name="40% - Accent5 4 4" xfId="4306" xr:uid="{F8C38EF9-D695-4198-9F82-8E80F64144C0}"/>
    <cellStyle name="40% - Accent5 4 5" xfId="4307" xr:uid="{F98C5B99-482D-4A2D-8CD3-D8D2A1DDFD36}"/>
    <cellStyle name="40% - Accent5 4 6" xfId="4308" xr:uid="{45FAFFA5-5535-4776-86BE-E74F80EF1B88}"/>
    <cellStyle name="40% - Accent5 4 7" xfId="4309" xr:uid="{77357712-3AAC-4D23-88C3-5957CA1D2050}"/>
    <cellStyle name="40% - Accent5 4 8" xfId="4303" xr:uid="{6D5A7A2F-D126-41DA-8920-B8BFF8FAB6E6}"/>
    <cellStyle name="40% - Accent5 4 9" xfId="7513" xr:uid="{1A8AF6B0-5B00-4620-B9E0-01654AD504AB}"/>
    <cellStyle name="40% - Accent5 5" xfId="795" xr:uid="{091F4D98-4318-4716-85DA-6D6970516DFD}"/>
    <cellStyle name="40% - Accent5 5 2" xfId="796" xr:uid="{AD11FF86-8E90-4AE4-96FC-740DA809E95D}"/>
    <cellStyle name="40% - Accent5 5 2 2" xfId="4311" xr:uid="{EC788BDD-5EF9-42BC-B1AF-748E6433F8A0}"/>
    <cellStyle name="40% - Accent5 5 2 3" xfId="7516" xr:uid="{17E05B82-93FD-44BD-A9CE-1CAA1C110E61}"/>
    <cellStyle name="40% - Accent5 5 3" xfId="4312" xr:uid="{E0ABCABC-F78E-4C51-A805-E9B7A4293A64}"/>
    <cellStyle name="40% - Accent5 5 4" xfId="4313" xr:uid="{5F0EE3DD-E5B8-4C1B-A78E-F02B25837444}"/>
    <cellStyle name="40% - Accent5 5 5" xfId="4314" xr:uid="{8C977998-4933-4E2F-914E-4A2C435FEF52}"/>
    <cellStyle name="40% - Accent5 5 6" xfId="4315" xr:uid="{B1692D8D-2331-4451-9729-2D875B26038A}"/>
    <cellStyle name="40% - Accent5 5 7" xfId="4316" xr:uid="{20ABCE78-8895-4F81-987C-4FDF9BD179DE}"/>
    <cellStyle name="40% - Accent5 5 8" xfId="4310" xr:uid="{A4E5693F-FEFD-4A49-955D-DAE417851637}"/>
    <cellStyle name="40% - Accent5 5 9" xfId="7515" xr:uid="{6A5C4415-F496-425F-90A1-DC50CA06A84E}"/>
    <cellStyle name="40% - Accent5 6" xfId="797" xr:uid="{A9982602-7534-4D1F-80D5-71788450F14A}"/>
    <cellStyle name="40% - Accent5 6 2" xfId="798" xr:uid="{AA19765E-B4A8-4BC9-80BD-D6959CD8A740}"/>
    <cellStyle name="40% - Accent5 6 2 2" xfId="4317" xr:uid="{0B4756BE-429F-4DF0-85B7-510EB9FAAE5C}"/>
    <cellStyle name="40% - Accent5 6 2 3" xfId="7518" xr:uid="{9B61DCBE-2B8A-46D2-8950-E996AEE0696B}"/>
    <cellStyle name="40% - Accent5 6 3" xfId="4318" xr:uid="{ED7456F4-9100-4793-8E9C-9C59DE1D1FC1}"/>
    <cellStyle name="40% - Accent5 6 4" xfId="4319" xr:uid="{EF475F95-8AE7-4982-9D22-7C74172E89A2}"/>
    <cellStyle name="40% - Accent5 6 5" xfId="4320" xr:uid="{6768D00D-5265-4239-BD91-B2C109A29C29}"/>
    <cellStyle name="40% - Accent5 6 6" xfId="4321" xr:uid="{3F238062-D9E2-424E-9DDE-CE9517D0EF32}"/>
    <cellStyle name="40% - Accent5 6 7" xfId="4322" xr:uid="{770209C9-A38D-4BE4-873F-30008B0AE785}"/>
    <cellStyle name="40% - Accent5 6 8" xfId="7517" xr:uid="{BC1504FC-E617-4772-B5C1-DC3A616B7B84}"/>
    <cellStyle name="40% - Accent5 7" xfId="799" xr:uid="{B9FC6EF2-B685-4C7D-9A92-059431CAAD5A}"/>
    <cellStyle name="40% - Accent5 7 2" xfId="800" xr:uid="{E54F6686-E787-4E38-A6B9-F0108D7BB39D}"/>
    <cellStyle name="40% - Accent5 7 2 2" xfId="4323" xr:uid="{6DBC53EE-B007-4575-A13F-876BAEA9F76E}"/>
    <cellStyle name="40% - Accent5 7 2 3" xfId="7520" xr:uid="{9AC91C0C-D3C3-4E60-B9C4-E9CB084EB176}"/>
    <cellStyle name="40% - Accent5 7 3" xfId="4324" xr:uid="{85E6624F-D276-46E7-8AFC-7C38C15FDB28}"/>
    <cellStyle name="40% - Accent5 7 4" xfId="4325" xr:uid="{4EFD4057-D214-4F1D-9A63-8E9CD882CFCB}"/>
    <cellStyle name="40% - Accent5 7 5" xfId="4326" xr:uid="{BA128EF6-5B88-4794-B6E9-FE25642B673A}"/>
    <cellStyle name="40% - Accent5 7 6" xfId="4327" xr:uid="{CD0816EA-B5BA-4004-BEA3-CB43135114D2}"/>
    <cellStyle name="40% - Accent5 7 7" xfId="4328" xr:uid="{EC37AC38-9D16-4E67-81C1-4321661EA687}"/>
    <cellStyle name="40% - Accent5 7 8" xfId="7519" xr:uid="{A2ED7B57-65E7-441E-9F89-F0AEC7E5068B}"/>
    <cellStyle name="40% - Accent5 8" xfId="801" xr:uid="{1EDDE54C-C8C2-4602-A189-FE0032D3375A}"/>
    <cellStyle name="40% - Accent5 8 2" xfId="802" xr:uid="{C45FD07B-BB5D-4A65-8407-C51D59AB5774}"/>
    <cellStyle name="40% - Accent5 8 2 2" xfId="4329" xr:uid="{5A9A324F-4ACD-4931-9B27-BD79E671C9C2}"/>
    <cellStyle name="40% - Accent5 8 2 3" xfId="7522" xr:uid="{DE9362B4-AC43-4258-A010-DA02D9F2708B}"/>
    <cellStyle name="40% - Accent5 8 3" xfId="4330" xr:uid="{4C24EB88-731F-4BE4-8CA1-4756520B0715}"/>
    <cellStyle name="40% - Accent5 8 4" xfId="4331" xr:uid="{307C67DA-88DB-4741-B9A5-1944CD85852F}"/>
    <cellStyle name="40% - Accent5 8 5" xfId="4332" xr:uid="{2208858F-46CE-4378-952E-4FBBAD9E9474}"/>
    <cellStyle name="40% - Accent5 8 6" xfId="4333" xr:uid="{4C5D120D-A9B7-40F5-9DE4-08224ABEF915}"/>
    <cellStyle name="40% - Accent5 8 7" xfId="4334" xr:uid="{4048F6A7-33BA-4962-82BC-4E91FAA891B6}"/>
    <cellStyle name="40% - Accent5 8 8" xfId="7521" xr:uid="{94451EA7-B23A-4F04-A7B0-4BC113AB5DD1}"/>
    <cellStyle name="40% - Accent5 9" xfId="803" xr:uid="{BD2DAD90-8494-43EC-8A27-DC32F5C14FA3}"/>
    <cellStyle name="40% - Accent5 9 2" xfId="804" xr:uid="{57B09A0B-687C-4D53-90B9-0C7F69D71181}"/>
    <cellStyle name="40% - Accent5 9 2 2" xfId="4335" xr:uid="{5EE85C6A-39CF-4863-8FF1-8C2FD0E27FFC}"/>
    <cellStyle name="40% - Accent5 9 2 3" xfId="7524" xr:uid="{92355C3E-C6B4-481A-8DEC-69EC33905B72}"/>
    <cellStyle name="40% - Accent5 9 3" xfId="4336" xr:uid="{61CE9622-BEEC-4848-837D-6CD17E10C690}"/>
    <cellStyle name="40% - Accent5 9 4" xfId="4337" xr:uid="{5577F0FD-A16C-429E-92D1-1C58E7AD14AF}"/>
    <cellStyle name="40% - Accent5 9 5" xfId="4338" xr:uid="{4D7AA186-92F1-4794-BD40-0527BA5AED2D}"/>
    <cellStyle name="40% - Accent5 9 6" xfId="4339" xr:uid="{C623C75D-E5D5-4E37-8994-1ABAEC12B95A}"/>
    <cellStyle name="40% - Accent5 9 7" xfId="4340" xr:uid="{74E96B7B-EF6D-4F2C-AE80-1DF3C9108ECA}"/>
    <cellStyle name="40% - Accent5 9 8" xfId="7523" xr:uid="{8E47BCDB-8133-4296-B33F-EB714595BA07}"/>
    <cellStyle name="40% - Accent6 10" xfId="805" xr:uid="{8DA02794-EAFF-4759-91AA-300E5123CF4B}"/>
    <cellStyle name="40% - Accent6 10 2" xfId="806" xr:uid="{7008D8EF-7CAA-404C-A2C8-B511E702B222}"/>
    <cellStyle name="40% - Accent6 10 2 2" xfId="807" xr:uid="{0D0AA2E6-B1CC-4762-9EC1-C113E168704C}"/>
    <cellStyle name="40% - Accent6 10 2 2 2" xfId="7526" xr:uid="{3CAE6A19-193F-44C9-80EA-42882E1D3CB6}"/>
    <cellStyle name="40% - Accent6 10 2 3" xfId="808" xr:uid="{C4A81413-BE5A-4095-942F-77BB02C153B1}"/>
    <cellStyle name="40% - Accent6 10 2 3 2" xfId="7527" xr:uid="{9E212498-AF76-41A0-B739-BD048E6A4073}"/>
    <cellStyle name="40% - Accent6 10 2 4" xfId="4341" xr:uid="{26F48DE8-124D-4C4D-B3C7-7546F73C73E6}"/>
    <cellStyle name="40% - Accent6 10 2 5" xfId="7525" xr:uid="{4E204C79-70B9-421A-8195-F5000C7835FA}"/>
    <cellStyle name="40% - Accent6 10 3" xfId="809" xr:uid="{D2C81B79-7A84-4206-8E9F-82414D8760DB}"/>
    <cellStyle name="40% - Accent6 10 3 2" xfId="4342" xr:uid="{D5659491-6DF1-4E89-8691-176A2EA38523}"/>
    <cellStyle name="40% - Accent6 10 4" xfId="4343" xr:uid="{9B54934C-DFCF-480B-933D-E1D85A636FEB}"/>
    <cellStyle name="40% - Accent6 10 5" xfId="4344" xr:uid="{2922C8CB-357E-4D1C-A67E-DC6573500EA0}"/>
    <cellStyle name="40% - Accent6 10 6" xfId="4345" xr:uid="{CFDA17F6-F1F2-4200-BB77-D5FB70146D49}"/>
    <cellStyle name="40% - Accent6 10 7" xfId="4346" xr:uid="{0B2279DD-DF6D-404C-90A8-8EC55AB83A6D}"/>
    <cellStyle name="40% - Accent6 11" xfId="810" xr:uid="{1FB5F842-2467-419E-8755-C8A862D88871}"/>
    <cellStyle name="40% - Accent6 11 2" xfId="811" xr:uid="{C13C5633-9F6B-49FF-A5B3-47489FE3F850}"/>
    <cellStyle name="40% - Accent6 11 2 2" xfId="812" xr:uid="{26744DD9-AC8E-4DC9-9F63-64F9B7F6E71F}"/>
    <cellStyle name="40% - Accent6 11 2 2 2" xfId="7529" xr:uid="{2729F6AC-4E74-4A99-AD50-6ECA52794C99}"/>
    <cellStyle name="40% - Accent6 11 2 3" xfId="813" xr:uid="{F19C010D-EC4A-48DD-AE81-BBADA8CA60E3}"/>
    <cellStyle name="40% - Accent6 11 2 3 2" xfId="7530" xr:uid="{15A40E8B-0100-4E71-B88E-86A1EC369EFD}"/>
    <cellStyle name="40% - Accent6 11 2 4" xfId="4347" xr:uid="{30F53C58-57AA-4C31-B7B1-907BCFD06CC7}"/>
    <cellStyle name="40% - Accent6 11 2 5" xfId="7528" xr:uid="{F0E14CC0-9EB9-4AEC-A403-C64E6FF0D779}"/>
    <cellStyle name="40% - Accent6 11 3" xfId="814" xr:uid="{D7AF90A6-B536-4A72-B593-FA502313745A}"/>
    <cellStyle name="40% - Accent6 11 3 2" xfId="4348" xr:uid="{B1B63C3E-EFC2-48A8-A67E-C9A331ACBDB8}"/>
    <cellStyle name="40% - Accent6 11 4" xfId="4349" xr:uid="{CADFAC4F-15B5-4E6F-9F4B-6C950F23C7C3}"/>
    <cellStyle name="40% - Accent6 11 5" xfId="4350" xr:uid="{63898E45-9138-48E4-909D-9246A8EA39DD}"/>
    <cellStyle name="40% - Accent6 11 6" xfId="4351" xr:uid="{BBDD4F45-DA22-4220-A293-1F9CF2960909}"/>
    <cellStyle name="40% - Accent6 11 7" xfId="4352" xr:uid="{F340BB1F-8F11-4147-8200-FF766559C808}"/>
    <cellStyle name="40% - Accent6 12" xfId="815" xr:uid="{9B2C6EC3-02B3-4BD7-8518-CA41F4927B09}"/>
    <cellStyle name="40% - Accent6 12 2" xfId="816" xr:uid="{A719564F-EF44-4E1E-9EB5-0CB7CE76A937}"/>
    <cellStyle name="40% - Accent6 12 2 2" xfId="817" xr:uid="{F8C6C65A-A6D9-48D8-8371-3D4FD6BF7AD0}"/>
    <cellStyle name="40% - Accent6 12 2 2 2" xfId="7532" xr:uid="{693997ED-EEF6-461A-A9A7-2C7FF25EE8CA}"/>
    <cellStyle name="40% - Accent6 12 2 3" xfId="818" xr:uid="{7CF390AB-2D1B-40F0-A6A9-D0945FE1CD92}"/>
    <cellStyle name="40% - Accent6 12 2 3 2" xfId="7533" xr:uid="{C53C3AAA-77D2-467C-944A-846A2B374A15}"/>
    <cellStyle name="40% - Accent6 12 2 4" xfId="4353" xr:uid="{AA5037BE-8D0B-438D-A3B5-EA81C1136D39}"/>
    <cellStyle name="40% - Accent6 12 2 5" xfId="7531" xr:uid="{BF112D00-17F4-4862-AB42-0DB3F10C76F8}"/>
    <cellStyle name="40% - Accent6 12 3" xfId="819" xr:uid="{1A02EABA-10C6-4236-A37E-FC11B72B22E2}"/>
    <cellStyle name="40% - Accent6 12 3 2" xfId="4354" xr:uid="{D4D15F02-B33A-48C9-AAB4-3503C86C4648}"/>
    <cellStyle name="40% - Accent6 12 4" xfId="4355" xr:uid="{8AE5045F-FC94-412E-8E85-748FFD1BD60D}"/>
    <cellStyle name="40% - Accent6 12 5" xfId="4356" xr:uid="{39C40F0B-085F-405C-B3EE-505AC9938057}"/>
    <cellStyle name="40% - Accent6 12 6" xfId="4357" xr:uid="{4B126B1E-1DE7-4C47-909A-C06EB6B4ED66}"/>
    <cellStyle name="40% - Accent6 12 7" xfId="4358" xr:uid="{76D0288E-C283-4E9C-8847-DAE6F5CF704E}"/>
    <cellStyle name="40% - Accent6 13" xfId="820" xr:uid="{855674FB-3C47-4FF7-8CF0-170485E0B8A9}"/>
    <cellStyle name="40% - Accent6 13 2" xfId="821" xr:uid="{CBF69DF3-FF6D-4DDC-8E11-B05322834630}"/>
    <cellStyle name="40% - Accent6 13 2 2" xfId="4359" xr:uid="{407A5166-61FE-46B0-B01B-8EB27DD4BC9B}"/>
    <cellStyle name="40% - Accent6 14" xfId="822" xr:uid="{AFAF2CB2-83FA-450D-B784-9A5EF627FAE4}"/>
    <cellStyle name="40% - Accent6 14 2" xfId="823" xr:uid="{64D5989A-42DA-437A-B7A9-BC71F2500217}"/>
    <cellStyle name="40% - Accent6 14 2 2" xfId="4360" xr:uid="{6A21BB82-CB59-4E62-858E-1B5A9389FB68}"/>
    <cellStyle name="40% - Accent6 15" xfId="824" xr:uid="{711672F5-8939-4190-93F2-B8055EECB2BE}"/>
    <cellStyle name="40% - Accent6 15 2" xfId="825" xr:uid="{CB21FDB6-53F4-462C-B42B-4A0EEE6C68D3}"/>
    <cellStyle name="40% - Accent6 15 2 2" xfId="4361" xr:uid="{A13E6736-D27B-4E5F-9759-CF8EDAF8C29B}"/>
    <cellStyle name="40% - Accent6 16" xfId="826" xr:uid="{EA539768-E212-4E9E-B7C6-D073558C1599}"/>
    <cellStyle name="40% - Accent6 16 2" xfId="827" xr:uid="{B6448916-AD09-424A-AF2E-A2745EDAA394}"/>
    <cellStyle name="40% - Accent6 16 2 2" xfId="4362" xr:uid="{382C1085-7296-406A-8AA7-84EBF7385C0E}"/>
    <cellStyle name="40% - Accent6 17" xfId="828" xr:uid="{70C52F0B-91EC-467A-9173-CF6B42FA33A8}"/>
    <cellStyle name="40% - Accent6 17 2" xfId="829" xr:uid="{D59A2209-51D3-41F2-8AA3-D24C7516AAAD}"/>
    <cellStyle name="40% - Accent6 17 2 2" xfId="4363" xr:uid="{FD3AB2E9-5830-4027-B820-51F7395B4BDF}"/>
    <cellStyle name="40% - Accent6 18" xfId="830" xr:uid="{32E8575D-3F20-4A76-B250-717D67B170CE}"/>
    <cellStyle name="40% - Accent6 18 2" xfId="831" xr:uid="{10E2D7AA-986D-4160-B94D-9DBCFA872AF7}"/>
    <cellStyle name="40% - Accent6 18 2 2" xfId="4364" xr:uid="{39CBC8ED-E9AA-48D3-ABD0-FCD6918A5A9A}"/>
    <cellStyle name="40% - Accent6 19" xfId="832" xr:uid="{A42B4B9B-FA8E-4C7C-96E7-D1DFE1B34DE3}"/>
    <cellStyle name="40% - Accent6 19 2" xfId="833" xr:uid="{454F5D06-703F-40E6-9A27-2F132A177F66}"/>
    <cellStyle name="40% - Accent6 19 2 2" xfId="4365" xr:uid="{C0EBA36A-52A1-48F8-B82C-760600217249}"/>
    <cellStyle name="40% - Accent6 2" xfId="834" xr:uid="{89B40674-085D-472C-8582-553A567C3014}"/>
    <cellStyle name="40% - Accent6 2 2" xfId="835" xr:uid="{B4980E7C-D0B6-480F-81E4-7A12ACFE8644}"/>
    <cellStyle name="40% - Accent6 2 2 2" xfId="836" xr:uid="{FA64B0A9-F41A-426E-B056-26BFF2512D87}"/>
    <cellStyle name="40% - Accent6 2 2 2 2" xfId="837" xr:uid="{799F3E19-D3FB-4A1A-A32D-7931D83300B5}"/>
    <cellStyle name="40% - Accent6 2 2 2 2 2" xfId="7536" xr:uid="{F3BE1356-9ABC-4418-AA7A-4C42887F7552}"/>
    <cellStyle name="40% - Accent6 2 2 2 3" xfId="838" xr:uid="{84010E70-FA2B-4300-9DF8-1816B4928AEC}"/>
    <cellStyle name="40% - Accent6 2 2 2 3 2" xfId="7537" xr:uid="{94A31B19-5CE1-45A7-A70C-216D2A75FBFC}"/>
    <cellStyle name="40% - Accent6 2 2 2 4" xfId="7535" xr:uid="{30552CFA-4ED3-413A-B4C5-435F739A6604}"/>
    <cellStyle name="40% - Accent6 2 2 3" xfId="839" xr:uid="{A8C84107-5751-4A1B-ABB3-7450B7137292}"/>
    <cellStyle name="40% - Accent6 2 2 3 2" xfId="7538" xr:uid="{8F9F578B-35A5-40A7-AF3E-DE9771E11AE6}"/>
    <cellStyle name="40% - Accent6 2 2 4" xfId="840" xr:uid="{43632ECA-FD94-41D9-AC48-C29C92B0F4FF}"/>
    <cellStyle name="40% - Accent6 2 2 4 2" xfId="7539" xr:uid="{FE05CA41-6938-4BC2-98D7-2D4CAC3F3D5E}"/>
    <cellStyle name="40% - Accent6 2 2 5" xfId="3412" xr:uid="{9C818FF1-7237-47E4-A906-074E69A34649}"/>
    <cellStyle name="40% - Accent6 2 2 6" xfId="7534" xr:uid="{5DB7531C-B1D2-421A-8644-B04337E6B5A2}"/>
    <cellStyle name="40% - Accent6 2 3" xfId="841" xr:uid="{FA0144C1-4940-4708-8C19-657FE93ABD2D}"/>
    <cellStyle name="40% - Accent6 2 3 2" xfId="3467" xr:uid="{003E97FE-F6C2-4D5E-B363-4CD8C75BF667}"/>
    <cellStyle name="40% - Accent6 2 3 3" xfId="7771" xr:uid="{701C7D04-5D07-4474-8F73-574F829DE47D}"/>
    <cellStyle name="40% - Accent6 2 4" xfId="4366" xr:uid="{E7ED33AA-4276-430C-BFB7-2DA3CA86EB41}"/>
    <cellStyle name="40% - Accent6 2 5" xfId="4367" xr:uid="{65CCC806-9125-4003-BB8B-048B7EE8163F}"/>
    <cellStyle name="40% - Accent6 2 6" xfId="4368" xr:uid="{66B8C170-3F17-4BDA-B831-F2CDAF4B3BE3}"/>
    <cellStyle name="40% - Accent6 2 7" xfId="4369" xr:uid="{76DCFC43-4A77-47D3-AE0D-626F13C60093}"/>
    <cellStyle name="40% - Accent6 2 8" xfId="3388" xr:uid="{A230CBA6-025A-4872-8EDE-355210504215}"/>
    <cellStyle name="40% - Accent6 2 9" xfId="7739" xr:uid="{F866B280-4A9F-415C-81C7-E99DB2B134D2}"/>
    <cellStyle name="40% - Accent6 20" xfId="842" xr:uid="{63165285-07AC-4E32-B3DC-667C02B00F68}"/>
    <cellStyle name="40% - Accent6 20 2" xfId="843" xr:uid="{942BD454-569F-405E-9DCE-C40C6C79B268}"/>
    <cellStyle name="40% - Accent6 20 2 2" xfId="4370" xr:uid="{81436DEF-70AB-49C9-86B5-ED22F998B202}"/>
    <cellStyle name="40% - Accent6 21" xfId="844" xr:uid="{37D680CC-912B-4ACD-8C07-B5976FF192DF}"/>
    <cellStyle name="40% - Accent6 21 2" xfId="845" xr:uid="{3DAECDDD-7968-4F6E-B90B-FC648B367D33}"/>
    <cellStyle name="40% - Accent6 21 2 2" xfId="4371" xr:uid="{F38C2B84-2B24-45CD-94F8-EDD73A13CB2B}"/>
    <cellStyle name="40% - Accent6 22" xfId="846" xr:uid="{FC2D317C-2823-4C30-9774-3B8A64FE8F05}"/>
    <cellStyle name="40% - Accent6 22 2" xfId="847" xr:uid="{0C504F60-8E07-4008-B7BE-89B22A179FDD}"/>
    <cellStyle name="40% - Accent6 23" xfId="848" xr:uid="{F9F4840E-678B-4E00-A8A7-4736930A067C}"/>
    <cellStyle name="40% - Accent6 23 2" xfId="849" xr:uid="{15A1770D-7226-49F8-8B97-AC4A8C8CBA22}"/>
    <cellStyle name="40% - Accent6 24" xfId="850" xr:uid="{1FF5E624-1072-4162-B9FF-F1412CA3EFE0}"/>
    <cellStyle name="40% - Accent6 24 2" xfId="851" xr:uid="{8C8993C3-11BF-4D91-88F2-83261AF92566}"/>
    <cellStyle name="40% - Accent6 25" xfId="852" xr:uid="{56A8F404-202D-460A-96AD-CBC6D91107D6}"/>
    <cellStyle name="40% - Accent6 26" xfId="853" xr:uid="{6323BE08-3D98-4DF5-98D7-958B5985D120}"/>
    <cellStyle name="40% - Accent6 26 2" xfId="7540" xr:uid="{EDABBD39-D4BE-4D3E-91B9-E7FE613C7C94}"/>
    <cellStyle name="40% - Accent6 27" xfId="7723" xr:uid="{8ACFF73B-E979-4E24-823B-37C6573F0F33}"/>
    <cellStyle name="40% - Accent6 3" xfId="854" xr:uid="{C1FC50D0-461E-4D56-BAE9-D3DDB5A176D4}"/>
    <cellStyle name="40% - Accent6 3 2" xfId="855" xr:uid="{46ABEC86-3A79-4CCE-B300-C0787E96488C}"/>
    <cellStyle name="40% - Accent6 3 2 2" xfId="856" xr:uid="{496300AA-6316-4DCB-B47E-81B97F122DC5}"/>
    <cellStyle name="40% - Accent6 3 2 2 2" xfId="7542" xr:uid="{2B069C62-8DA3-4135-90F9-4B5BBF660634}"/>
    <cellStyle name="40% - Accent6 3 2 3" xfId="857" xr:uid="{7035C1ED-D54C-455B-ACB2-5ACC8E722637}"/>
    <cellStyle name="40% - Accent6 3 2 3 2" xfId="7543" xr:uid="{F0F3B745-B7EE-4A83-9A46-25B2E4171D0A}"/>
    <cellStyle name="40% - Accent6 3 2 4" xfId="4372" xr:uid="{A18764D8-388E-40EF-B864-92797B92FD72}"/>
    <cellStyle name="40% - Accent6 3 2 5" xfId="7541" xr:uid="{F3A9EDB8-1CCE-4ED1-A962-E3AD467B15DD}"/>
    <cellStyle name="40% - Accent6 3 3" xfId="858" xr:uid="{A82B5645-7BAC-4A75-8E1B-25E6D8CBAB62}"/>
    <cellStyle name="40% - Accent6 3 3 2" xfId="4373" xr:uid="{8046D3E3-005E-409A-8C1A-6118CDE92DEA}"/>
    <cellStyle name="40% - Accent6 3 4" xfId="4374" xr:uid="{A10B7384-58B4-445C-8BD0-52EBA35B94D6}"/>
    <cellStyle name="40% - Accent6 3 5" xfId="4375" xr:uid="{7D278984-7AD2-4DC0-A27A-CB04BB3D13FC}"/>
    <cellStyle name="40% - Accent6 3 6" xfId="4376" xr:uid="{4D20C43D-2EC4-4202-B013-02EA176BF5B6}"/>
    <cellStyle name="40% - Accent6 3 7" xfId="4377" xr:uid="{E0CB4DDD-6F8B-4585-9A6A-B4FE61E7DA90}"/>
    <cellStyle name="40% - Accent6 3 8" xfId="3397" xr:uid="{2ADBC519-202E-449A-AA3C-40358628C59B}"/>
    <cellStyle name="40% - Accent6 3 9" xfId="7744" xr:uid="{5954BE05-6B80-494C-8230-768A73395548}"/>
    <cellStyle name="40% - Accent6 4" xfId="859" xr:uid="{10E43B2B-2178-43BE-A758-AADC8D7F96ED}"/>
    <cellStyle name="40% - Accent6 4 2" xfId="860" xr:uid="{F52456A0-B92D-4D8B-8895-A8FD2E5C996B}"/>
    <cellStyle name="40% - Accent6 4 2 2" xfId="861" xr:uid="{64908589-F63A-419D-83DA-91A1CB689FA2}"/>
    <cellStyle name="40% - Accent6 4 2 2 2" xfId="7545" xr:uid="{D38B50F2-EFA3-4177-A532-FB40E60B598A}"/>
    <cellStyle name="40% - Accent6 4 2 3" xfId="862" xr:uid="{51D33C35-D4EF-4AB9-86D8-3BE9B54AC890}"/>
    <cellStyle name="40% - Accent6 4 2 3 2" xfId="7546" xr:uid="{D61AFC98-3919-4A2B-AB94-B79C7B7AE569}"/>
    <cellStyle name="40% - Accent6 4 2 4" xfId="4379" xr:uid="{2BEBCF89-5D87-4E4A-BB43-E70655869401}"/>
    <cellStyle name="40% - Accent6 4 2 5" xfId="7544" xr:uid="{F475F46F-A8A4-4B2F-9024-60888D7C19CA}"/>
    <cellStyle name="40% - Accent6 4 3" xfId="863" xr:uid="{63506865-D3B3-4B80-8DF6-6ED6E1528508}"/>
    <cellStyle name="40% - Accent6 4 3 2" xfId="4380" xr:uid="{397331A1-A544-4B76-A912-F8ECB630551C}"/>
    <cellStyle name="40% - Accent6 4 4" xfId="4381" xr:uid="{B8AB1339-4049-4A9A-96FE-10C207D557AC}"/>
    <cellStyle name="40% - Accent6 4 5" xfId="4382" xr:uid="{D075CF31-DEFF-4FF8-9F9D-54CFCEAEBC80}"/>
    <cellStyle name="40% - Accent6 4 6" xfId="4383" xr:uid="{A18101E2-5515-4B0F-9AF7-BAF1B0EE0539}"/>
    <cellStyle name="40% - Accent6 4 7" xfId="4384" xr:uid="{0FE9FE4F-626C-4DB9-BB23-746BA05D0DFA}"/>
    <cellStyle name="40% - Accent6 4 8" xfId="4378" xr:uid="{F3231505-0C7A-4024-94EA-BEA202128FC2}"/>
    <cellStyle name="40% - Accent6 5" xfId="864" xr:uid="{1AAECC7E-3587-4C8B-8E1A-9E5C11BA9204}"/>
    <cellStyle name="40% - Accent6 5 2" xfId="865" xr:uid="{6F663C9F-5964-48B8-9886-E489855A19C5}"/>
    <cellStyle name="40% - Accent6 5 2 2" xfId="866" xr:uid="{CFC8E80A-45BE-4C67-8CF5-E02288F7D8E2}"/>
    <cellStyle name="40% - Accent6 5 2 2 2" xfId="7548" xr:uid="{251333FF-C253-4B8E-984C-9FFC9629C5CE}"/>
    <cellStyle name="40% - Accent6 5 2 3" xfId="867" xr:uid="{8EE8A057-3F31-42C9-A207-8ECD9EB9A68A}"/>
    <cellStyle name="40% - Accent6 5 2 3 2" xfId="7549" xr:uid="{F3D4A964-A38A-48CA-812B-A837BCF26B31}"/>
    <cellStyle name="40% - Accent6 5 2 4" xfId="4386" xr:uid="{6D313B9A-03DD-44BA-B600-C4F84D6A69E8}"/>
    <cellStyle name="40% - Accent6 5 2 5" xfId="7547" xr:uid="{416CB967-2653-47B4-8F9C-161C2D9E8ACD}"/>
    <cellStyle name="40% - Accent6 5 3" xfId="868" xr:uid="{DA4DE5F4-95DA-49C8-AC41-A5D61C69E0DD}"/>
    <cellStyle name="40% - Accent6 5 3 2" xfId="4387" xr:uid="{7214B4FA-3CE0-4AD5-8321-DDAA9F9FA63A}"/>
    <cellStyle name="40% - Accent6 5 4" xfId="4388" xr:uid="{B2D9FDD8-9DBC-4A88-BCB9-55E0F7041971}"/>
    <cellStyle name="40% - Accent6 5 5" xfId="4389" xr:uid="{F2E72711-3491-4084-8D10-B17796DB0C61}"/>
    <cellStyle name="40% - Accent6 5 6" xfId="4390" xr:uid="{A39E5533-6327-4FE8-BCC5-D78C175F442F}"/>
    <cellStyle name="40% - Accent6 5 7" xfId="4391" xr:uid="{16D825E4-2F18-4C72-9CB8-D7B0D284C143}"/>
    <cellStyle name="40% - Accent6 5 8" xfId="4385" xr:uid="{E351C4DD-97D6-4C1F-AB04-1BC6C14191D6}"/>
    <cellStyle name="40% - Accent6 6" xfId="869" xr:uid="{3A2383BE-55F0-4232-A3A8-F0734931052C}"/>
    <cellStyle name="40% - Accent6 6 2" xfId="870" xr:uid="{68EE6B32-065C-4142-9A89-54A513F8E848}"/>
    <cellStyle name="40% - Accent6 6 2 2" xfId="871" xr:uid="{D09BF3B3-BFC1-4203-B799-44490459F671}"/>
    <cellStyle name="40% - Accent6 6 2 2 2" xfId="7551" xr:uid="{F031A4A2-F8F0-4995-B093-5007BED9A20C}"/>
    <cellStyle name="40% - Accent6 6 2 3" xfId="872" xr:uid="{6F766B43-CCB3-41F1-8EF5-D834FFA4B42F}"/>
    <cellStyle name="40% - Accent6 6 2 3 2" xfId="7552" xr:uid="{63781AA9-C758-4793-BC82-A8FA54E73B61}"/>
    <cellStyle name="40% - Accent6 6 2 4" xfId="4392" xr:uid="{F4FAF31E-3149-4507-8132-36CC3D59B34E}"/>
    <cellStyle name="40% - Accent6 6 2 5" xfId="7550" xr:uid="{D3C49D55-8517-4499-A256-6749E39C6577}"/>
    <cellStyle name="40% - Accent6 6 3" xfId="873" xr:uid="{4C15BD95-CE5F-42CA-9F1B-57BD3DD227F4}"/>
    <cellStyle name="40% - Accent6 6 3 2" xfId="4393" xr:uid="{AAD5751A-934C-4500-8575-D4466867CDF4}"/>
    <cellStyle name="40% - Accent6 6 4" xfId="4394" xr:uid="{5E8A6314-21B8-49F7-9D72-6B2EE87D946D}"/>
    <cellStyle name="40% - Accent6 6 5" xfId="4395" xr:uid="{57F958C6-3D19-4377-9873-3D29FE005B0F}"/>
    <cellStyle name="40% - Accent6 6 6" xfId="4396" xr:uid="{39245919-28B0-45CD-85D4-CE9C100D90E1}"/>
    <cellStyle name="40% - Accent6 6 7" xfId="4397" xr:uid="{5D19FBA3-AC73-45C7-9044-EBE1074DB619}"/>
    <cellStyle name="40% - Accent6 7" xfId="874" xr:uid="{4A632B50-7D6E-43C8-8ED6-9DBB5D7CB6E1}"/>
    <cellStyle name="40% - Accent6 7 2" xfId="875" xr:uid="{0E49CF92-D887-4066-9915-3041D04CAB9E}"/>
    <cellStyle name="40% - Accent6 7 2 2" xfId="876" xr:uid="{038B8B90-55C8-4DC1-A5EF-D7196C54EA47}"/>
    <cellStyle name="40% - Accent6 7 2 2 2" xfId="7554" xr:uid="{3E87F8B1-194C-4923-8E01-E219FC78F9DB}"/>
    <cellStyle name="40% - Accent6 7 2 3" xfId="877" xr:uid="{F902D924-E8D3-4315-8902-37175CE7F483}"/>
    <cellStyle name="40% - Accent6 7 2 3 2" xfId="7555" xr:uid="{3B1572C1-6B8C-4CCC-8349-A623F9F87362}"/>
    <cellStyle name="40% - Accent6 7 2 4" xfId="4398" xr:uid="{5A3EA4B8-88FB-476A-9AFC-D45A10BA167D}"/>
    <cellStyle name="40% - Accent6 7 2 5" xfId="7553" xr:uid="{CF82E970-60D3-4D32-A9F9-A03595BC8CFA}"/>
    <cellStyle name="40% - Accent6 7 3" xfId="878" xr:uid="{04F30C69-4686-4CA0-99B5-4C9E6B4B4988}"/>
    <cellStyle name="40% - Accent6 7 3 2" xfId="4399" xr:uid="{3436100F-13AC-477C-B1B5-B51ACDBD8D9C}"/>
    <cellStyle name="40% - Accent6 7 4" xfId="4400" xr:uid="{D310B22F-3B1B-4EF1-A696-57F0A43F91E3}"/>
    <cellStyle name="40% - Accent6 7 5" xfId="4401" xr:uid="{B4A97B73-7B5E-4875-BCEE-7D8844EF1AE8}"/>
    <cellStyle name="40% - Accent6 7 6" xfId="4402" xr:uid="{5174C5C9-4C08-47AF-AF22-82110544B3A3}"/>
    <cellStyle name="40% - Accent6 7 7" xfId="4403" xr:uid="{CD703982-1871-4289-BB18-4D45BC62B001}"/>
    <cellStyle name="40% - Accent6 8" xfId="879" xr:uid="{EE623C51-383C-4691-BC5F-16A2F837D19F}"/>
    <cellStyle name="40% - Accent6 8 2" xfId="880" xr:uid="{10C99020-779B-4492-89F3-31AB4E0522C7}"/>
    <cellStyle name="40% - Accent6 8 2 2" xfId="881" xr:uid="{2B5636B0-7331-485B-8E75-DCA5B738AB03}"/>
    <cellStyle name="40% - Accent6 8 2 2 2" xfId="7557" xr:uid="{C69FD089-8AE8-4E3C-B0F9-44D5B6CD94FA}"/>
    <cellStyle name="40% - Accent6 8 2 3" xfId="882" xr:uid="{AFEEFC09-A7EE-4B00-A262-55E275C60337}"/>
    <cellStyle name="40% - Accent6 8 2 3 2" xfId="7558" xr:uid="{E96A93BF-A29F-4FCC-9015-26086983648E}"/>
    <cellStyle name="40% - Accent6 8 2 4" xfId="4404" xr:uid="{527B3047-A73C-43F1-B9C1-7F1CC83F558F}"/>
    <cellStyle name="40% - Accent6 8 2 5" xfId="7556" xr:uid="{EDECC7E2-A3FC-41AA-B09F-0F844BAE5967}"/>
    <cellStyle name="40% - Accent6 8 3" xfId="883" xr:uid="{027C338B-37D5-4A5D-ABF4-0F1F4890EAB1}"/>
    <cellStyle name="40% - Accent6 8 3 2" xfId="4405" xr:uid="{81E0A98E-D893-4813-B957-3ACA25952C9D}"/>
    <cellStyle name="40% - Accent6 8 4" xfId="4406" xr:uid="{88180CC7-CC82-44A8-8CA3-05F9D1B55FBB}"/>
    <cellStyle name="40% - Accent6 8 5" xfId="4407" xr:uid="{0E3390DE-231E-4A88-87B8-F4D03004EDAD}"/>
    <cellStyle name="40% - Accent6 8 6" xfId="4408" xr:uid="{4613CD26-344D-49D7-804F-5B97E940BA33}"/>
    <cellStyle name="40% - Accent6 8 7" xfId="4409" xr:uid="{8021CC2E-384E-4C33-A6AF-4D99ABDE653B}"/>
    <cellStyle name="40% - Accent6 9" xfId="884" xr:uid="{EC7BD1C1-E11A-40AA-894C-C51771F369E4}"/>
    <cellStyle name="40% - Accent6 9 2" xfId="885" xr:uid="{4763FFEA-0D92-4CB4-90E9-F7E72E75542C}"/>
    <cellStyle name="40% - Accent6 9 2 2" xfId="886" xr:uid="{B0585D33-4ED3-4524-955D-7946EF6CBBC2}"/>
    <cellStyle name="40% - Accent6 9 2 2 2" xfId="7560" xr:uid="{CC9B684F-A218-432B-A99C-3D9A66C49793}"/>
    <cellStyle name="40% - Accent6 9 2 3" xfId="887" xr:uid="{0068B9E8-A649-4D22-80F6-BC41D484CB43}"/>
    <cellStyle name="40% - Accent6 9 2 3 2" xfId="7561" xr:uid="{F48CDE75-3468-4A6B-AE4C-F252A756EE9C}"/>
    <cellStyle name="40% - Accent6 9 2 4" xfId="4410" xr:uid="{E61407C6-3574-4B6A-96CA-377ADE51E086}"/>
    <cellStyle name="40% - Accent6 9 2 5" xfId="7559" xr:uid="{86C5EBE5-8328-47F3-9912-5245E2513CD1}"/>
    <cellStyle name="40% - Accent6 9 3" xfId="888" xr:uid="{77019825-9DEC-4F17-9AD8-5B4422561C2C}"/>
    <cellStyle name="40% - Accent6 9 3 2" xfId="4411" xr:uid="{B5B82C29-F3CC-42B7-8E88-6DE0161634D2}"/>
    <cellStyle name="40% - Accent6 9 4" xfId="4412" xr:uid="{A0BD7F97-0E31-4655-AC16-FB217B516BC2}"/>
    <cellStyle name="40% - Accent6 9 5" xfId="4413" xr:uid="{9D97CDEC-2159-4571-8432-B4D322A00592}"/>
    <cellStyle name="40% - Accent6 9 6" xfId="4414" xr:uid="{136577D5-41EF-47AD-A6A7-7C7F0511F450}"/>
    <cellStyle name="40% - Accent6 9 7" xfId="4415" xr:uid="{78025154-1843-4020-BBC8-97EF13F0988F}"/>
    <cellStyle name="40% — akcent 1 2" xfId="3280" xr:uid="{C49CF3F5-7625-4F07-A8DD-422E48C98750}"/>
    <cellStyle name="40% — akcent 2 2" xfId="3284" xr:uid="{102690F2-80A4-4F7A-9C61-688E6A001B0F}"/>
    <cellStyle name="40% — akcent 3 2" xfId="3288" xr:uid="{52AB9C59-4DD9-4135-AF2C-1FA1A4AE7E6D}"/>
    <cellStyle name="40% — akcent 4 2" xfId="3292" xr:uid="{4C0F7B77-E318-42E1-9A13-AE66EB34497A}"/>
    <cellStyle name="40% — akcent 5 2" xfId="3296" xr:uid="{0FBDCB06-78E3-4DC8-9F06-852228A56E2A}"/>
    <cellStyle name="40% — akcent 6 2" xfId="3300" xr:uid="{9C39BBA3-D974-4E4A-8615-EA9591ABE173}"/>
    <cellStyle name="60% - Accent1 10" xfId="889" xr:uid="{BC48737C-7B9D-4CEE-9555-4462D014E0B3}"/>
    <cellStyle name="60% - Accent1 10 2" xfId="890" xr:uid="{F2B7FBF0-CE76-4144-ABF3-BFCA221140D9}"/>
    <cellStyle name="60% - Accent1 10 2 2" xfId="891" xr:uid="{475EC9A3-EEAD-4312-BB37-7580964EE44B}"/>
    <cellStyle name="60% - Accent1 10 2 3" xfId="892" xr:uid="{B361E659-8A84-43BD-B871-C418E74D7505}"/>
    <cellStyle name="60% - Accent1 10 2 4" xfId="4416" xr:uid="{E6E0A99A-7B48-4703-B993-8136FCD36B0F}"/>
    <cellStyle name="60% - Accent1 10 3" xfId="4417" xr:uid="{D0B74699-3A08-4CAD-92B2-B199F365006E}"/>
    <cellStyle name="60% - Accent1 10 4" xfId="4418" xr:uid="{121A85ED-76E2-4487-A535-58AE209A9ADD}"/>
    <cellStyle name="60% - Accent1 10 5" xfId="4419" xr:uid="{73E0E061-FD4F-40EC-BB51-915C976553C2}"/>
    <cellStyle name="60% - Accent1 10 6" xfId="4420" xr:uid="{86FEA398-A4A1-4C52-A3BB-71AA1D4AF2F8}"/>
    <cellStyle name="60% - Accent1 10 7" xfId="4421" xr:uid="{76F98FBE-7F4E-45FB-BEA4-D956E37BCB08}"/>
    <cellStyle name="60% - Accent1 11" xfId="893" xr:uid="{8A844F30-D014-450D-BEEF-B2FB7198FA46}"/>
    <cellStyle name="60% - Accent1 11 2" xfId="894" xr:uid="{04E2F82D-1194-4128-99F1-C3FCD56A7A59}"/>
    <cellStyle name="60% - Accent1 11 2 2" xfId="895" xr:uid="{F5D0D27A-9853-46DE-BDCE-29811B02ABAC}"/>
    <cellStyle name="60% - Accent1 11 2 3" xfId="896" xr:uid="{720764CB-8160-42F4-9C1A-ED32B07C9DF1}"/>
    <cellStyle name="60% - Accent1 11 2 4" xfId="4422" xr:uid="{880D1C00-A849-4E28-801D-9D47F570E052}"/>
    <cellStyle name="60% - Accent1 11 3" xfId="4423" xr:uid="{146AC48A-0FAD-4E09-A3F9-91B9DFCD76C7}"/>
    <cellStyle name="60% - Accent1 11 4" xfId="4424" xr:uid="{1AEAE3BD-2043-4659-8E5F-BE01EEB22136}"/>
    <cellStyle name="60% - Accent1 11 5" xfId="4425" xr:uid="{383EBC75-2F7A-42FC-A904-54AC6B4E8394}"/>
    <cellStyle name="60% - Accent1 11 6" xfId="4426" xr:uid="{3FC1D22A-6CDE-4389-89EB-05E9B22F4804}"/>
    <cellStyle name="60% - Accent1 11 7" xfId="4427" xr:uid="{8D672895-46D6-4C29-A0C7-66B829D5E657}"/>
    <cellStyle name="60% - Accent1 12" xfId="897" xr:uid="{429BA8BD-BCE5-4A1A-8CE2-5DD2DAD28DCD}"/>
    <cellStyle name="60% - Accent1 12 2" xfId="898" xr:uid="{1C6D440D-16B7-4BFA-8918-F2B7658726CF}"/>
    <cellStyle name="60% - Accent1 12 2 2" xfId="899" xr:uid="{94D21C48-CBE9-4AAF-8317-77D01EDB73AB}"/>
    <cellStyle name="60% - Accent1 12 2 3" xfId="900" xr:uid="{C85499DB-F406-4AC6-90B3-1573A8B48FA9}"/>
    <cellStyle name="60% - Accent1 12 2 4" xfId="4428" xr:uid="{12CEAF4B-9824-4034-9F79-E960AAA8C677}"/>
    <cellStyle name="60% - Accent1 12 3" xfId="4429" xr:uid="{5500A7BB-95C3-400F-9861-90B78BBCA5FE}"/>
    <cellStyle name="60% - Accent1 12 4" xfId="4430" xr:uid="{6203FFBF-12A2-4BD3-A10E-6F578AAB1BFB}"/>
    <cellStyle name="60% - Accent1 12 5" xfId="4431" xr:uid="{6E93EE0D-72C4-406A-82B1-0580E1951729}"/>
    <cellStyle name="60% - Accent1 12 6" xfId="4432" xr:uid="{0372184A-2598-4B33-97C8-A3502B139D58}"/>
    <cellStyle name="60% - Accent1 12 7" xfId="4433" xr:uid="{F32F3ED4-9342-4FB5-A1D8-7BD9D5BCB7A9}"/>
    <cellStyle name="60% - Accent1 13" xfId="901" xr:uid="{1EC815DF-84E0-4DD0-BDE0-1DD207CE2B88}"/>
    <cellStyle name="60% - Accent1 13 2" xfId="4434" xr:uid="{A2A2485B-F60A-4BF4-A50F-140B87BB8B4B}"/>
    <cellStyle name="60% - Accent1 14" xfId="902" xr:uid="{89933998-3C01-4D9E-8C52-1CD73357037F}"/>
    <cellStyle name="60% - Accent1 14 2" xfId="4435" xr:uid="{4F149CF3-454A-45F9-92FC-F04B2CC06D6D}"/>
    <cellStyle name="60% - Accent1 15" xfId="903" xr:uid="{A955E594-5F82-4533-801F-8599CD635BBF}"/>
    <cellStyle name="60% - Accent1 15 2" xfId="4436" xr:uid="{8A4D7AE0-F833-49E9-9F33-9DDBB97083AE}"/>
    <cellStyle name="60% - Accent1 16" xfId="904" xr:uid="{8813B032-4F34-4713-84A3-BC9FD99440E9}"/>
    <cellStyle name="60% - Accent1 16 2" xfId="4437" xr:uid="{DE44BE31-DF0D-4C9C-A9BF-F29D4FAD7A0A}"/>
    <cellStyle name="60% - Accent1 17" xfId="905" xr:uid="{99622F31-B4CF-4560-8DE5-541F4621F2ED}"/>
    <cellStyle name="60% - Accent1 17 2" xfId="4438" xr:uid="{CD4AB793-3BB1-4A08-B59B-3EA1A1D9282B}"/>
    <cellStyle name="60% - Accent1 18" xfId="906" xr:uid="{4EF3CC15-D406-4FC8-B83B-D73FCC709F72}"/>
    <cellStyle name="60% - Accent1 18 2" xfId="4439" xr:uid="{DEA2A773-D880-4817-AD6B-D1CFBF8CC273}"/>
    <cellStyle name="60% - Accent1 19" xfId="907" xr:uid="{AB5A814D-D67F-4CDA-B063-73FFD2C3635A}"/>
    <cellStyle name="60% - Accent1 19 2" xfId="4440" xr:uid="{EF06D8EA-5272-419E-B98B-20EECF54A046}"/>
    <cellStyle name="60% - Accent1 2" xfId="908" xr:uid="{723FAA38-E60A-41BA-B2DC-3656E2E62D2B}"/>
    <cellStyle name="60% - Accent1 2 2" xfId="909" xr:uid="{C7EA5747-D905-4B81-866B-24786B5B43B5}"/>
    <cellStyle name="60% - Accent1 2 2 2" xfId="910" xr:uid="{5D073EDB-0669-49A1-B8F8-EF8FFFA2A814}"/>
    <cellStyle name="60% - Accent1 2 2 2 2" xfId="911" xr:uid="{83FBF330-3355-48B7-B2E5-909A1E590496}"/>
    <cellStyle name="60% - Accent1 2 2 2 3" xfId="912" xr:uid="{6235D27D-47D9-4D35-8B2D-3FDB7947A5E1}"/>
    <cellStyle name="60% - Accent1 2 2 3" xfId="913" xr:uid="{D035D77A-E6EB-4265-ACAA-40A58D76DD1B}"/>
    <cellStyle name="60% - Accent1 2 2 4" xfId="914" xr:uid="{9FAA3113-E27C-48AA-BAE3-726EC5FCF964}"/>
    <cellStyle name="60% - Accent1 2 2 5" xfId="4441" xr:uid="{0378370A-F24A-46C2-AC7C-C50C741BD0CF}"/>
    <cellStyle name="60% - Accent1 2 3" xfId="4442" xr:uid="{5029D197-8C1B-48FF-BF78-7C93D8D2F58E}"/>
    <cellStyle name="60% - Accent1 2 4" xfId="4443" xr:uid="{DFB06906-19BA-471A-BBBD-C3F39DE3D070}"/>
    <cellStyle name="60% - Accent1 2 5" xfId="4444" xr:uid="{2969FD62-ABEE-4613-A086-68322A91118E}"/>
    <cellStyle name="60% - Accent1 2 6" xfId="4445" xr:uid="{7C7ED16E-404F-4F23-9766-161F24B0547E}"/>
    <cellStyle name="60% - Accent1 2 7" xfId="4446" xr:uid="{7575CE05-0354-4B65-9C30-B9F13CA89621}"/>
    <cellStyle name="60% - Accent1 20" xfId="915" xr:uid="{2DC8E554-E4EF-4754-99C6-B60A74581573}"/>
    <cellStyle name="60% - Accent1 20 2" xfId="4447" xr:uid="{5F5DA850-A907-44C8-994D-9D3D9FE31CEF}"/>
    <cellStyle name="60% - Accent1 21" xfId="916" xr:uid="{BA85F958-5152-4921-B692-B44DA193157B}"/>
    <cellStyle name="60% - Accent1 21 2" xfId="4448" xr:uid="{D18A94C4-28A0-4813-A31D-DA8A9A9BE1DE}"/>
    <cellStyle name="60% - Accent1 22" xfId="917" xr:uid="{9F9A0459-AA19-417C-BDA1-872FD8C2CFE8}"/>
    <cellStyle name="60% - Accent1 23" xfId="918" xr:uid="{E52ADC40-C45D-483F-B5D9-4BF362DC5CF2}"/>
    <cellStyle name="60% - Accent1 24" xfId="919" xr:uid="{2E77392C-5F28-4BB6-8D52-882A35F403DD}"/>
    <cellStyle name="60% - Accent1 25" xfId="920" xr:uid="{763666BE-35DC-4AE5-B99B-860370BBFF3E}"/>
    <cellStyle name="60% - Accent1 26" xfId="921" xr:uid="{760BCA0B-91E5-4ECF-BDBA-54470F94A79F}"/>
    <cellStyle name="60% - Accent1 3" xfId="922" xr:uid="{7D27D0B4-C740-4C25-BCDA-8B0899F11E55}"/>
    <cellStyle name="60% - Accent1 3 2" xfId="923" xr:uid="{446EF1E3-C68B-427D-9612-19549F40E8E7}"/>
    <cellStyle name="60% - Accent1 3 2 2" xfId="924" xr:uid="{63419B8B-CD0C-484A-AAD9-8A8C6443BCFD}"/>
    <cellStyle name="60% - Accent1 3 2 3" xfId="925" xr:uid="{89D73217-270A-4140-8652-A8A38B7A31B3}"/>
    <cellStyle name="60% - Accent1 3 2 4" xfId="4449" xr:uid="{F7BB5B6E-860E-4DE2-914F-057ADA30C327}"/>
    <cellStyle name="60% - Accent1 3 3" xfId="4450" xr:uid="{1E158260-97CD-49BB-94EB-04E9AEC62B62}"/>
    <cellStyle name="60% - Accent1 3 4" xfId="4451" xr:uid="{B6B835FC-E9B6-4EF6-87C9-90D5034A9144}"/>
    <cellStyle name="60% - Accent1 3 5" xfId="4452" xr:uid="{BFAD6EBC-B361-413E-A608-C7F1EA4ACEA3}"/>
    <cellStyle name="60% - Accent1 3 6" xfId="4453" xr:uid="{4BC3E2F3-A989-470A-AE11-7336EAD42C6B}"/>
    <cellStyle name="60% - Accent1 3 7" xfId="4454" xr:uid="{366182A3-2C25-4240-BCC3-A0D59FBD5529}"/>
    <cellStyle name="60% - Accent1 3 8" xfId="3439" xr:uid="{B8FED2F8-E806-448B-9A97-BEE3A4F140CB}"/>
    <cellStyle name="60% - Accent1 4" xfId="926" xr:uid="{7CCA29F0-AB76-4C60-8251-C0AFB42F1568}"/>
    <cellStyle name="60% - Accent1 4 2" xfId="927" xr:uid="{2217F394-4B09-41DF-9EF0-108EB4DDFD46}"/>
    <cellStyle name="60% - Accent1 4 2 2" xfId="928" xr:uid="{A9270326-4878-4C28-8B62-7F2D975D9D89}"/>
    <cellStyle name="60% - Accent1 4 2 3" xfId="929" xr:uid="{2C576E26-D7A3-406A-A1AD-6A9CBCDF83DA}"/>
    <cellStyle name="60% - Accent1 4 2 4" xfId="4456" xr:uid="{66CA2CEA-D9B9-496C-8936-A78BD23AE311}"/>
    <cellStyle name="60% - Accent1 4 3" xfId="4457" xr:uid="{0ECFC2E1-B5B3-42B8-8896-8D2A0A5F29AF}"/>
    <cellStyle name="60% - Accent1 4 4" xfId="4458" xr:uid="{0840FADB-FC08-4AE5-A520-3B0BD3264766}"/>
    <cellStyle name="60% - Accent1 4 5" xfId="4459" xr:uid="{B948524F-5984-40D1-AC76-4471EAF13478}"/>
    <cellStyle name="60% - Accent1 4 6" xfId="4460" xr:uid="{C1C624E6-66D8-413B-BCA6-029FF42A4FF1}"/>
    <cellStyle name="60% - Accent1 4 7" xfId="4461" xr:uid="{FBE02CAA-B3A5-4AD0-8371-6940031A9014}"/>
    <cellStyle name="60% - Accent1 4 8" xfId="4455" xr:uid="{AD6B012C-0D79-4166-8F1B-4D46B917CAEA}"/>
    <cellStyle name="60% - Accent1 5" xfId="930" xr:uid="{E6686B41-B679-4B0C-A69C-4F1ACF134182}"/>
    <cellStyle name="60% - Accent1 5 2" xfId="931" xr:uid="{71E80D52-8D09-441C-B37E-B7EEDB64989F}"/>
    <cellStyle name="60% - Accent1 5 2 2" xfId="932" xr:uid="{F801DA79-591F-42E4-8E80-A5827B53EE89}"/>
    <cellStyle name="60% - Accent1 5 2 3" xfId="933" xr:uid="{C9BF6192-496F-4A90-8739-A530CEF86C12}"/>
    <cellStyle name="60% - Accent1 5 2 4" xfId="4463" xr:uid="{291E89FC-73BA-407A-889F-368138D3C9B3}"/>
    <cellStyle name="60% - Accent1 5 3" xfId="4464" xr:uid="{FDDC0510-9480-4CE4-B253-C7E29A2BDE46}"/>
    <cellStyle name="60% - Accent1 5 4" xfId="4465" xr:uid="{B6BD2953-2445-469A-991A-F6CEDC500B2A}"/>
    <cellStyle name="60% - Accent1 5 5" xfId="4466" xr:uid="{F20AFC48-50DE-48CE-A3AD-8F652E8A6588}"/>
    <cellStyle name="60% - Accent1 5 6" xfId="4467" xr:uid="{F08F80FE-0087-4451-9FD5-472D193E6702}"/>
    <cellStyle name="60% - Accent1 5 7" xfId="4468" xr:uid="{B362C963-EF75-43A9-B0B1-DE96B341C39A}"/>
    <cellStyle name="60% - Accent1 5 8" xfId="4462" xr:uid="{D3BC6391-366A-4BBB-8316-21111DF23342}"/>
    <cellStyle name="60% - Accent1 6" xfId="934" xr:uid="{2ADCA9AF-E8CA-4C35-850D-4E8C12A29FE4}"/>
    <cellStyle name="60% - Accent1 6 2" xfId="935" xr:uid="{2F926C53-12D1-4450-9D01-229406C714DA}"/>
    <cellStyle name="60% - Accent1 6 2 2" xfId="936" xr:uid="{5AB22A5B-0F75-43F3-BCBE-1326DCF4B52F}"/>
    <cellStyle name="60% - Accent1 6 2 3" xfId="937" xr:uid="{A82EF06A-29B9-40D3-B7A9-6EFC41DF52AB}"/>
    <cellStyle name="60% - Accent1 6 2 4" xfId="4469" xr:uid="{6629F8FD-82F5-4D51-9B94-38E99AE68692}"/>
    <cellStyle name="60% - Accent1 6 3" xfId="4470" xr:uid="{A7AF2B91-78DD-41E8-8D99-F18DAF66C652}"/>
    <cellStyle name="60% - Accent1 6 4" xfId="4471" xr:uid="{C9AE31FA-0409-441D-8043-BC78C284CB03}"/>
    <cellStyle name="60% - Accent1 6 5" xfId="4472" xr:uid="{47C5C30C-9227-46D9-8C85-DBC80E3569E0}"/>
    <cellStyle name="60% - Accent1 6 6" xfId="4473" xr:uid="{8EC75C32-9694-4EBC-813A-0A8CE210551F}"/>
    <cellStyle name="60% - Accent1 6 7" xfId="4474" xr:uid="{EEA1BECC-2A84-4B3E-9D90-F59FB01BCE4F}"/>
    <cellStyle name="60% - Accent1 7" xfId="938" xr:uid="{53F358EC-4BA5-42D7-9607-406542575363}"/>
    <cellStyle name="60% - Accent1 7 2" xfId="939" xr:uid="{900A206C-3171-48CB-8158-A6109DAE7D30}"/>
    <cellStyle name="60% - Accent1 7 2 2" xfId="940" xr:uid="{DF146E66-B0D2-4177-B553-23010E8EBCE9}"/>
    <cellStyle name="60% - Accent1 7 2 3" xfId="941" xr:uid="{80BD88A4-A832-4FD3-BBB1-ACE25EDFA1A0}"/>
    <cellStyle name="60% - Accent1 7 2 4" xfId="4475" xr:uid="{83C7F529-49C1-46DF-938F-972EE2F5A76A}"/>
    <cellStyle name="60% - Accent1 7 3" xfId="4476" xr:uid="{272080CF-A40B-40F8-BD1D-EE0241EB9149}"/>
    <cellStyle name="60% - Accent1 7 4" xfId="4477" xr:uid="{114A29A4-A166-4FC3-9725-2487758A6454}"/>
    <cellStyle name="60% - Accent1 7 5" xfId="4478" xr:uid="{37ACE4A0-E67F-4B6F-BCDD-292D5C1A2223}"/>
    <cellStyle name="60% - Accent1 7 6" xfId="4479" xr:uid="{8CD1D26F-E94D-4495-B328-0D3DACAFE6F6}"/>
    <cellStyle name="60% - Accent1 7 7" xfId="4480" xr:uid="{BB71E323-A1B8-42B8-9EEE-58A811CF507D}"/>
    <cellStyle name="60% - Accent1 8" xfId="942" xr:uid="{15139DF5-71CE-48CD-9B9B-DA0A44505F0B}"/>
    <cellStyle name="60% - Accent1 8 2" xfId="943" xr:uid="{DEF90D87-51D3-4FD7-B438-AC7A3F6A82FB}"/>
    <cellStyle name="60% - Accent1 8 2 2" xfId="944" xr:uid="{6A2AEA30-02B2-4593-B743-1AFEB44F5ED6}"/>
    <cellStyle name="60% - Accent1 8 2 3" xfId="945" xr:uid="{B9CBE009-307D-4093-B3E9-2E312385099C}"/>
    <cellStyle name="60% - Accent1 8 2 4" xfId="4481" xr:uid="{36D43CF6-6135-49CC-99B4-2ED7CC436F34}"/>
    <cellStyle name="60% - Accent1 8 3" xfId="4482" xr:uid="{835DEB42-13D1-47CB-9FD2-E00D94BEFD59}"/>
    <cellStyle name="60% - Accent1 8 4" xfId="4483" xr:uid="{36557D41-C530-4396-BF1A-FCE26D6D6DEB}"/>
    <cellStyle name="60% - Accent1 8 5" xfId="4484" xr:uid="{372610F2-17ED-45E0-B052-0B09A09FD2B3}"/>
    <cellStyle name="60% - Accent1 8 6" xfId="4485" xr:uid="{C22D7213-1BBB-4563-AA6E-60BD3BAB8FE8}"/>
    <cellStyle name="60% - Accent1 8 7" xfId="4486" xr:uid="{7B2DA7DD-A123-4DE2-B6BA-D3C32604C55D}"/>
    <cellStyle name="60% - Accent1 9" xfId="946" xr:uid="{3F2E9208-894C-44C0-AE09-9BC9F39F4372}"/>
    <cellStyle name="60% - Accent1 9 2" xfId="947" xr:uid="{1366F07A-0E32-41C0-8BDF-4F3CE25FEED0}"/>
    <cellStyle name="60% - Accent1 9 2 2" xfId="948" xr:uid="{F754B19C-F73A-4097-B312-606A28353333}"/>
    <cellStyle name="60% - Accent1 9 2 3" xfId="949" xr:uid="{50C99C19-21EB-4CD3-A501-3CE89FBF0712}"/>
    <cellStyle name="60% - Accent1 9 2 4" xfId="4487" xr:uid="{F316BFE5-D80A-4851-9CC6-8A4ADBA5191A}"/>
    <cellStyle name="60% - Accent1 9 3" xfId="4488" xr:uid="{407C0AE8-561A-4F94-9FFF-7FC71B04CCFA}"/>
    <cellStyle name="60% - Accent1 9 4" xfId="4489" xr:uid="{067DD9C5-F896-44DA-AEF7-71B063BD8241}"/>
    <cellStyle name="60% - Accent1 9 5" xfId="4490" xr:uid="{8F24E6C1-7E58-4528-9022-97B38C42B74C}"/>
    <cellStyle name="60% - Accent1 9 6" xfId="4491" xr:uid="{45FAB1B8-FB6C-4E19-AF4F-44C10ABF6751}"/>
    <cellStyle name="60% - Accent1 9 7" xfId="4492" xr:uid="{E76B9EA1-2978-4E5F-8C8D-40D08A740369}"/>
    <cellStyle name="60% - Accent2 10" xfId="950" xr:uid="{2E4D2760-D2C9-4D87-A387-51D277BB4140}"/>
    <cellStyle name="60% - Accent2 10 2" xfId="951" xr:uid="{55C2395F-13F2-4275-8CD3-AC57A70EC9A4}"/>
    <cellStyle name="60% - Accent2 10 2 2" xfId="952" xr:uid="{07F49956-1C98-4D18-8BF6-27ED3B1FD29A}"/>
    <cellStyle name="60% - Accent2 10 2 3" xfId="953" xr:uid="{CCC06DEF-5DF4-47F9-A87B-71A4C5A2FA28}"/>
    <cellStyle name="60% - Accent2 10 2 4" xfId="4493" xr:uid="{8B17DB41-3772-417D-828B-08BFFE4F32E1}"/>
    <cellStyle name="60% - Accent2 10 3" xfId="4494" xr:uid="{AB39E936-B7A3-4977-AA70-098101718D49}"/>
    <cellStyle name="60% - Accent2 10 4" xfId="4495" xr:uid="{BD69AA34-EBD0-4A9C-A4C4-415680ABB232}"/>
    <cellStyle name="60% - Accent2 10 5" xfId="4496" xr:uid="{E9100CD4-9A47-460A-9E70-FAAAE4F53AF1}"/>
    <cellStyle name="60% - Accent2 10 6" xfId="4497" xr:uid="{2B09E19F-1A6E-43AD-B744-F4806DAA0521}"/>
    <cellStyle name="60% - Accent2 10 7" xfId="4498" xr:uid="{9FA2A876-63AE-4E26-B891-2A98C833820E}"/>
    <cellStyle name="60% - Accent2 11" xfId="954" xr:uid="{737CCA20-8D51-4A47-A8BB-4A845A6D20D5}"/>
    <cellStyle name="60% - Accent2 11 2" xfId="955" xr:uid="{76532C85-7419-4C6E-A019-87EB9A96FBF5}"/>
    <cellStyle name="60% - Accent2 11 2 2" xfId="956" xr:uid="{9AA19702-D120-41C4-B53C-C1462A542D6A}"/>
    <cellStyle name="60% - Accent2 11 2 3" xfId="957" xr:uid="{06EB2E6C-4A53-422B-B156-A53C7749421F}"/>
    <cellStyle name="60% - Accent2 11 2 4" xfId="4499" xr:uid="{EE17F493-8868-4CC7-8BA0-141F3A3D4246}"/>
    <cellStyle name="60% - Accent2 11 3" xfId="4500" xr:uid="{7707CFF0-481B-4EFC-ADD4-447BF315D29C}"/>
    <cellStyle name="60% - Accent2 11 4" xfId="4501" xr:uid="{D5AC0E35-8B93-44F2-9F09-1E9A03F76133}"/>
    <cellStyle name="60% - Accent2 11 5" xfId="4502" xr:uid="{1B58415B-D121-4CEC-8E1F-8C389488DD29}"/>
    <cellStyle name="60% - Accent2 11 6" xfId="4503" xr:uid="{C8F4F1C3-0C3C-45DD-8EF3-5C46F12F25B8}"/>
    <cellStyle name="60% - Accent2 11 7" xfId="4504" xr:uid="{4E73154E-6489-4C0F-80BB-280174492E74}"/>
    <cellStyle name="60% - Accent2 12" xfId="958" xr:uid="{01486B2E-A3E6-42AD-BB55-9A85509CE202}"/>
    <cellStyle name="60% - Accent2 12 2" xfId="959" xr:uid="{C8EE5DF3-7035-48E6-A1FA-6836A92BFAEB}"/>
    <cellStyle name="60% - Accent2 12 2 2" xfId="960" xr:uid="{F775BE00-5193-4EE9-BE8D-9E05C7B5BD87}"/>
    <cellStyle name="60% - Accent2 12 2 3" xfId="961" xr:uid="{F1B61AC1-D0A7-477F-8D4A-A98A008A959C}"/>
    <cellStyle name="60% - Accent2 12 2 4" xfId="4505" xr:uid="{0E7EC038-2B2E-43EF-81E5-F5980405FBD0}"/>
    <cellStyle name="60% - Accent2 12 3" xfId="4506" xr:uid="{6652966D-B2FD-405A-A0DD-82B1B954D0BF}"/>
    <cellStyle name="60% - Accent2 12 4" xfId="4507" xr:uid="{C2FBC3F6-0E2E-4310-BEF4-829557DCF124}"/>
    <cellStyle name="60% - Accent2 12 5" xfId="4508" xr:uid="{3E19E9EC-1CD2-440C-BDC9-24CE19665B04}"/>
    <cellStyle name="60% - Accent2 12 6" xfId="4509" xr:uid="{FAE0C3B4-5E13-4981-927A-204349958BB8}"/>
    <cellStyle name="60% - Accent2 12 7" xfId="4510" xr:uid="{C0165FFC-E323-42BA-9883-2CD1B2701ABB}"/>
    <cellStyle name="60% - Accent2 13" xfId="962" xr:uid="{6416C352-A6C6-4A65-9567-D15EA78E7CDC}"/>
    <cellStyle name="60% - Accent2 13 2" xfId="4511" xr:uid="{D2663BAB-BF5D-4AEC-B1E9-979A46F94479}"/>
    <cellStyle name="60% - Accent2 14" xfId="963" xr:uid="{DD75DD76-10E8-4C15-8EE6-EAB18E60004C}"/>
    <cellStyle name="60% - Accent2 14 2" xfId="4512" xr:uid="{2B211A56-4766-4F2F-BBD1-CC30A2634025}"/>
    <cellStyle name="60% - Accent2 15" xfId="964" xr:uid="{CCF2C704-56F7-4B69-B43C-6E84557B7A64}"/>
    <cellStyle name="60% - Accent2 15 2" xfId="4513" xr:uid="{9DC114BE-262B-4B5F-8E86-FD27CB0D75A8}"/>
    <cellStyle name="60% - Accent2 16" xfId="965" xr:uid="{DC0C995D-DD2D-40E7-9633-1F922DCFC68F}"/>
    <cellStyle name="60% - Accent2 16 2" xfId="4514" xr:uid="{8E07F92C-27D6-4B5A-A078-6CF75B07A0B5}"/>
    <cellStyle name="60% - Accent2 17" xfId="966" xr:uid="{6A5D4049-3594-4A54-A173-E37C34D6D94C}"/>
    <cellStyle name="60% - Accent2 17 2" xfId="4515" xr:uid="{F86DFFE9-D7B2-4E26-8B02-0847B8EB7F79}"/>
    <cellStyle name="60% - Accent2 18" xfId="967" xr:uid="{5CA8C28D-F778-4D5E-B9DD-09BBD82E7266}"/>
    <cellStyle name="60% - Accent2 18 2" xfId="4516" xr:uid="{AF5AD323-DDAB-43FE-8964-57F321C72D1F}"/>
    <cellStyle name="60% - Accent2 19" xfId="968" xr:uid="{841F7E83-B594-4FCE-AE5E-7D0B764322DA}"/>
    <cellStyle name="60% - Accent2 19 2" xfId="4517" xr:uid="{F450C020-B630-4463-8581-78B76809B28B}"/>
    <cellStyle name="60% - Accent2 2" xfId="969" xr:uid="{1F25F76A-3508-4C3B-BF69-6FA6532F9B51}"/>
    <cellStyle name="60% - Accent2 2 2" xfId="970" xr:uid="{5C5AD5D7-00CF-4861-8AC7-3DA27A426608}"/>
    <cellStyle name="60% - Accent2 2 2 2" xfId="971" xr:uid="{96760C31-0DAC-444C-9BB5-77BC1C8FE620}"/>
    <cellStyle name="60% - Accent2 2 2 2 2" xfId="972" xr:uid="{232A4E44-291A-4785-8B9D-DFD78454CA53}"/>
    <cellStyle name="60% - Accent2 2 2 2 3" xfId="973" xr:uid="{4C5CE636-1CF6-4537-B2D9-31861A3BB17E}"/>
    <cellStyle name="60% - Accent2 2 2 3" xfId="974" xr:uid="{075328EE-4239-402B-AB97-E047CB3F1A5B}"/>
    <cellStyle name="60% - Accent2 2 2 4" xfId="975" xr:uid="{05944472-981A-4241-82B4-6FAA0CF7397E}"/>
    <cellStyle name="60% - Accent2 2 2 5" xfId="4518" xr:uid="{02AEF3DF-96C5-40CA-892E-5C14E80EA295}"/>
    <cellStyle name="60% - Accent2 2 3" xfId="4519" xr:uid="{A66DC9B5-FE3E-45B3-9D8C-D6327799DC0E}"/>
    <cellStyle name="60% - Accent2 2 4" xfId="4520" xr:uid="{539E302E-F350-40B4-A6E0-C8338252BB4F}"/>
    <cellStyle name="60% - Accent2 2 5" xfId="4521" xr:uid="{E9246486-F979-49CE-86A6-F3C84C8F7CE9}"/>
    <cellStyle name="60% - Accent2 2 6" xfId="4522" xr:uid="{8B55BA89-5207-486C-A528-47467E3B2277}"/>
    <cellStyle name="60% - Accent2 2 7" xfId="4523" xr:uid="{F03F23D6-EE03-4A1F-8D2B-D6B145E51FD5}"/>
    <cellStyle name="60% - Accent2 20" xfId="976" xr:uid="{E5843E45-87C0-4FE0-AB40-E3936185DA3B}"/>
    <cellStyle name="60% - Accent2 20 2" xfId="4524" xr:uid="{8A16D68A-6551-49CB-AF06-254785094326}"/>
    <cellStyle name="60% - Accent2 21" xfId="977" xr:uid="{437FC35D-CEC2-4674-9A31-566B7A055468}"/>
    <cellStyle name="60% - Accent2 21 2" xfId="4525" xr:uid="{878345DC-6A6C-431E-81F4-55AD6E8FFC05}"/>
    <cellStyle name="60% - Accent2 22" xfId="978" xr:uid="{989FDEF3-D16B-4A7D-AA94-0FFC230EC784}"/>
    <cellStyle name="60% - Accent2 23" xfId="979" xr:uid="{D9CD350D-4CC3-4056-88A0-8431327BC1BD}"/>
    <cellStyle name="60% - Accent2 24" xfId="980" xr:uid="{A0CB7415-787F-49F8-B35E-20BE760A5C68}"/>
    <cellStyle name="60% - Accent2 25" xfId="981" xr:uid="{BAC8E99E-3DD4-4975-88DF-5ECC1E6E2279}"/>
    <cellStyle name="60% - Accent2 26" xfId="982" xr:uid="{53BA237A-6BE4-4EF5-BAF9-C7904CD1B2E7}"/>
    <cellStyle name="60% - Accent2 3" xfId="983" xr:uid="{60F17214-E66B-40C4-8ABB-DA026ACBB6F8}"/>
    <cellStyle name="60% - Accent2 3 2" xfId="984" xr:uid="{26F89B5B-DD2D-4D56-B8E8-55B060BFF777}"/>
    <cellStyle name="60% - Accent2 3 2 2" xfId="985" xr:uid="{7950DEFB-519B-4FF2-8E27-93B407B336AE}"/>
    <cellStyle name="60% - Accent2 3 2 3" xfId="986" xr:uid="{1DDE8440-2522-45F6-8591-C4EAE5C9AE5F}"/>
    <cellStyle name="60% - Accent2 3 2 4" xfId="4526" xr:uid="{5E4E058C-55D9-49F8-855B-8492615D601F}"/>
    <cellStyle name="60% - Accent2 3 3" xfId="4527" xr:uid="{753758EF-93D6-4119-83D0-49E3B876D70C}"/>
    <cellStyle name="60% - Accent2 3 4" xfId="4528" xr:uid="{A00114A8-912C-4308-9B19-9E032C636E08}"/>
    <cellStyle name="60% - Accent2 3 5" xfId="4529" xr:uid="{E8CD9DBD-A1AC-4AA2-9E47-3CDFBCF1BD38}"/>
    <cellStyle name="60% - Accent2 3 6" xfId="4530" xr:uid="{BC6DD0B6-3096-43AA-8EF5-892F82A77A3F}"/>
    <cellStyle name="60% - Accent2 3 7" xfId="4531" xr:uid="{E14A95C0-465B-4FF0-82A4-2544CFBCE2CD}"/>
    <cellStyle name="60% - Accent2 3 8" xfId="3435" xr:uid="{57FD6FA5-56FD-41EB-B0F3-E8DB53583870}"/>
    <cellStyle name="60% - Accent2 4" xfId="987" xr:uid="{904F3191-79D5-483B-AD5B-51AE99993071}"/>
    <cellStyle name="60% - Accent2 4 2" xfId="988" xr:uid="{2FF3E797-860F-49C1-8C38-DD5BEDD06AD1}"/>
    <cellStyle name="60% - Accent2 4 2 2" xfId="989" xr:uid="{79825400-EAEF-4274-9256-9B6CAA129EB9}"/>
    <cellStyle name="60% - Accent2 4 2 3" xfId="990" xr:uid="{45D52F74-9324-4512-90E1-5877CDADFD04}"/>
    <cellStyle name="60% - Accent2 4 2 4" xfId="4533" xr:uid="{E3A071A0-2313-4818-A2CB-943626F8524D}"/>
    <cellStyle name="60% - Accent2 4 3" xfId="4534" xr:uid="{A0C3A638-28BC-41C1-B566-41AE98A4D668}"/>
    <cellStyle name="60% - Accent2 4 4" xfId="4535" xr:uid="{E056CFD2-CC67-4E92-BBB3-72D0B17AE38D}"/>
    <cellStyle name="60% - Accent2 4 5" xfId="4536" xr:uid="{0B925C78-57DD-46C3-8B13-5DDD4E4752EC}"/>
    <cellStyle name="60% - Accent2 4 6" xfId="4537" xr:uid="{839AD932-AD92-48F8-B22C-A2E98EBD2F7B}"/>
    <cellStyle name="60% - Accent2 4 7" xfId="4538" xr:uid="{DB252C4A-7C69-45F5-A795-317BDA0F7FB4}"/>
    <cellStyle name="60% - Accent2 4 8" xfId="4532" xr:uid="{4A2146B8-1583-4CC4-BF13-A997C9E79413}"/>
    <cellStyle name="60% - Accent2 5" xfId="991" xr:uid="{EC737AA6-F402-4CDB-9E3E-F9BBA74A1E16}"/>
    <cellStyle name="60% - Accent2 5 2" xfId="992" xr:uid="{C5FFAA99-C4F1-427A-A11C-9DB5E5824320}"/>
    <cellStyle name="60% - Accent2 5 2 2" xfId="993" xr:uid="{12828176-ACCF-4210-8F2A-BF55594D28AF}"/>
    <cellStyle name="60% - Accent2 5 2 3" xfId="994" xr:uid="{A20C4232-F0E1-4E3F-A867-DD8518666EEE}"/>
    <cellStyle name="60% - Accent2 5 2 4" xfId="4540" xr:uid="{5ACC289F-DBBA-4C84-A5C5-0B603BD10E0E}"/>
    <cellStyle name="60% - Accent2 5 3" xfId="4541" xr:uid="{2E809164-2E34-4E26-99F5-C3F08BEEDED0}"/>
    <cellStyle name="60% - Accent2 5 4" xfId="4542" xr:uid="{125C80F5-7157-4042-B58E-10CFB3D93F9B}"/>
    <cellStyle name="60% - Accent2 5 5" xfId="4543" xr:uid="{E099D6DE-7884-42A0-8630-538932D239A4}"/>
    <cellStyle name="60% - Accent2 5 6" xfId="4544" xr:uid="{B418EA75-A747-45A5-B1F5-D6D66FFC4142}"/>
    <cellStyle name="60% - Accent2 5 7" xfId="4545" xr:uid="{CB16A3BC-E4F1-46A0-AFAA-01A38E8723C4}"/>
    <cellStyle name="60% - Accent2 5 8" xfId="4539" xr:uid="{699DA3FF-F961-4916-88C8-CA767E0774B5}"/>
    <cellStyle name="60% - Accent2 6" xfId="995" xr:uid="{F5F7D97A-3472-4DFF-8637-1B7DE58633A5}"/>
    <cellStyle name="60% - Accent2 6 2" xfId="996" xr:uid="{3F7CDFF4-AF1C-4B0F-8175-C32A28FDFDD5}"/>
    <cellStyle name="60% - Accent2 6 2 2" xfId="997" xr:uid="{8285CF96-69C1-42BC-9A9D-95C8D59321AC}"/>
    <cellStyle name="60% - Accent2 6 2 3" xfId="998" xr:uid="{1C2A765A-C419-4C46-8980-5F4B8FDC006D}"/>
    <cellStyle name="60% - Accent2 6 2 4" xfId="4546" xr:uid="{C8BB4983-4362-457E-AB18-4EE409D81500}"/>
    <cellStyle name="60% - Accent2 6 3" xfId="4547" xr:uid="{8D210D1A-E769-473A-84AF-4ECC72CAD519}"/>
    <cellStyle name="60% - Accent2 6 4" xfId="4548" xr:uid="{C897CB0C-9C14-4ACF-B6BC-EB5AD3FFD4AD}"/>
    <cellStyle name="60% - Accent2 6 5" xfId="4549" xr:uid="{A89F9B5A-9F53-461C-81C4-0868EC63E7D4}"/>
    <cellStyle name="60% - Accent2 6 6" xfId="4550" xr:uid="{56BB6A15-EA97-446F-B35D-FF6B3288C111}"/>
    <cellStyle name="60% - Accent2 6 7" xfId="4551" xr:uid="{EDECE71D-3C29-40F0-BE1B-3E62D45708B5}"/>
    <cellStyle name="60% - Accent2 7" xfId="999" xr:uid="{CE63F163-60F3-4C8C-AC81-15BD2D0FFC11}"/>
    <cellStyle name="60% - Accent2 7 2" xfId="1000" xr:uid="{15F8C683-FB01-48EE-829E-61E0B50F357E}"/>
    <cellStyle name="60% - Accent2 7 2 2" xfId="1001" xr:uid="{8831A698-3858-46F2-8D56-7B7A6C4AE87B}"/>
    <cellStyle name="60% - Accent2 7 2 3" xfId="1002" xr:uid="{A562C817-5EA6-438C-8854-56BE6746FA17}"/>
    <cellStyle name="60% - Accent2 7 2 4" xfId="4552" xr:uid="{4BA569B0-A9BE-42FA-A33E-D97C3A2D2DA3}"/>
    <cellStyle name="60% - Accent2 7 3" xfId="4553" xr:uid="{F94C32B4-5EAC-4F28-A385-6FCA7F4CE5A5}"/>
    <cellStyle name="60% - Accent2 7 4" xfId="4554" xr:uid="{5101B6E0-85C1-46B4-A16A-360532D7B6CB}"/>
    <cellStyle name="60% - Accent2 7 5" xfId="4555" xr:uid="{37AFF86F-4F94-4F26-BBA5-E58D265AE9AA}"/>
    <cellStyle name="60% - Accent2 7 6" xfId="4556" xr:uid="{A53D2A8F-03F4-476B-99F9-1337732B6A63}"/>
    <cellStyle name="60% - Accent2 7 7" xfId="4557" xr:uid="{9BCFC7C7-E4B2-4B74-A563-5CB53F9DAA3C}"/>
    <cellStyle name="60% - Accent2 8" xfId="1003" xr:uid="{D44501C5-99DA-4E50-B74F-0F528AC8C863}"/>
    <cellStyle name="60% - Accent2 8 2" xfId="1004" xr:uid="{445615CE-C30B-49BC-8F28-027CECE1993E}"/>
    <cellStyle name="60% - Accent2 8 2 2" xfId="1005" xr:uid="{64AA9652-F5A0-48F7-BF44-2D8CB16DD0A9}"/>
    <cellStyle name="60% - Accent2 8 2 3" xfId="1006" xr:uid="{D4BB01C2-A930-40E7-A4CF-2A094C0DE83B}"/>
    <cellStyle name="60% - Accent2 8 2 4" xfId="4558" xr:uid="{3AF1A874-25C7-489F-A652-B191128ED3D5}"/>
    <cellStyle name="60% - Accent2 8 3" xfId="4559" xr:uid="{CEBAA011-D025-45A6-974C-2CF7D7E3CC4E}"/>
    <cellStyle name="60% - Accent2 8 4" xfId="4560" xr:uid="{93B5ED87-459F-4BC5-9253-B4463CF92319}"/>
    <cellStyle name="60% - Accent2 8 5" xfId="4561" xr:uid="{D3C4CC17-D3A9-4130-9A8D-7858778C9930}"/>
    <cellStyle name="60% - Accent2 8 6" xfId="4562" xr:uid="{7BF6573B-90B9-4353-AA84-FD63103CA2B7}"/>
    <cellStyle name="60% - Accent2 8 7" xfId="4563" xr:uid="{6AF4969C-99EC-4A4E-9DF1-FD39B76FFDEB}"/>
    <cellStyle name="60% - Accent2 9" xfId="1007" xr:uid="{106AC257-4C07-425C-80E8-EF318EECFDB3}"/>
    <cellStyle name="60% - Accent2 9 2" xfId="1008" xr:uid="{1661B080-AC03-446B-A055-0ADC827EEE52}"/>
    <cellStyle name="60% - Accent2 9 2 2" xfId="1009" xr:uid="{926A5BD9-1FC0-4F61-BD3A-81967C8DEDEC}"/>
    <cellStyle name="60% - Accent2 9 2 3" xfId="1010" xr:uid="{33643957-85B7-4915-BF22-11EC17CF3D6E}"/>
    <cellStyle name="60% - Accent2 9 2 4" xfId="4564" xr:uid="{14A2F8BD-DB6B-41CD-B797-482A0C222702}"/>
    <cellStyle name="60% - Accent2 9 3" xfId="4565" xr:uid="{81A82A9D-C456-4840-9D09-FA77495AC7BF}"/>
    <cellStyle name="60% - Accent2 9 4" xfId="4566" xr:uid="{6FF4ADA5-DC51-4510-8348-8E792585836E}"/>
    <cellStyle name="60% - Accent2 9 5" xfId="4567" xr:uid="{C0D9EFCA-1A01-41C4-A01B-7F062BB5A7D6}"/>
    <cellStyle name="60% - Accent2 9 6" xfId="4568" xr:uid="{1538127E-7E4B-4B27-B125-5BC59FFD64BF}"/>
    <cellStyle name="60% - Accent2 9 7" xfId="4569" xr:uid="{AB30DA51-134A-4821-8AFE-739284455222}"/>
    <cellStyle name="60% - Accent3 10" xfId="1011" xr:uid="{3466683B-7C54-4189-9B11-3555EBB22A32}"/>
    <cellStyle name="60% - Accent3 10 2" xfId="1012" xr:uid="{9B7BABF7-76B0-4CB0-8E64-58F84B5B3014}"/>
    <cellStyle name="60% - Accent3 10 2 2" xfId="1013" xr:uid="{B64316DC-73A7-4163-9E52-5D837F095B00}"/>
    <cellStyle name="60% - Accent3 10 2 3" xfId="1014" xr:uid="{D07B7466-FE57-496F-A52A-3D3150AE7643}"/>
    <cellStyle name="60% - Accent3 10 2 4" xfId="4570" xr:uid="{BC4A78F5-F175-47D5-A955-0D78A5ACD661}"/>
    <cellStyle name="60% - Accent3 10 3" xfId="4571" xr:uid="{E7E9C222-1E29-4D11-B3CD-DA11BC8E9221}"/>
    <cellStyle name="60% - Accent3 10 4" xfId="4572" xr:uid="{F035DCAB-FBB8-415C-AE08-C3DBC0A3D97F}"/>
    <cellStyle name="60% - Accent3 10 5" xfId="4573" xr:uid="{E79F6384-05DD-4639-ADF4-1BDB93B37A91}"/>
    <cellStyle name="60% - Accent3 10 6" xfId="4574" xr:uid="{7721A385-BD06-4300-AD29-4D9D0A17CF0A}"/>
    <cellStyle name="60% - Accent3 10 7" xfId="4575" xr:uid="{B74F88D7-DD93-4CD5-90AA-D4AE58F310FC}"/>
    <cellStyle name="60% - Accent3 11" xfId="1015" xr:uid="{10A9D06C-B6D3-4200-B2B9-BA64B9E04A09}"/>
    <cellStyle name="60% - Accent3 11 2" xfId="1016" xr:uid="{9C637AA8-BD59-49B8-A67F-9F79A75287F7}"/>
    <cellStyle name="60% - Accent3 11 2 2" xfId="1017" xr:uid="{6CA1FBB9-BF59-4132-8D22-843CBFBDEFB3}"/>
    <cellStyle name="60% - Accent3 11 2 3" xfId="1018" xr:uid="{7778D8E7-E666-43B5-848E-DE5454F3F340}"/>
    <cellStyle name="60% - Accent3 11 2 4" xfId="4576" xr:uid="{C392062E-087A-4836-89C9-5C75C02FB3E3}"/>
    <cellStyle name="60% - Accent3 11 3" xfId="4577" xr:uid="{9C774882-50D9-4FF4-9FE8-5B9074F3BC6C}"/>
    <cellStyle name="60% - Accent3 11 4" xfId="4578" xr:uid="{56275D52-B70B-475C-8F33-B02ACDBEC8E6}"/>
    <cellStyle name="60% - Accent3 11 5" xfId="4579" xr:uid="{5A96C1FE-0DF5-4B0E-9B44-2EF69D650357}"/>
    <cellStyle name="60% - Accent3 11 6" xfId="4580" xr:uid="{F5CC55B0-51E3-440E-89A0-876916608B22}"/>
    <cellStyle name="60% - Accent3 11 7" xfId="4581" xr:uid="{1768392B-B2F9-4033-96F3-E36E82482349}"/>
    <cellStyle name="60% - Accent3 12" xfId="1019" xr:uid="{598C69BF-9303-4506-896D-BD85467B0331}"/>
    <cellStyle name="60% - Accent3 12 2" xfId="1020" xr:uid="{59C83C0B-241E-422E-A02A-A0A94E5309CE}"/>
    <cellStyle name="60% - Accent3 12 2 2" xfId="1021" xr:uid="{F1CA9453-EB64-4C8E-A161-BE0D1BB04D84}"/>
    <cellStyle name="60% - Accent3 12 2 3" xfId="1022" xr:uid="{AC57BFDB-971C-4E1E-8870-5593E76319DF}"/>
    <cellStyle name="60% - Accent3 12 2 4" xfId="4582" xr:uid="{136089C9-0D5D-48E7-A799-6B5538954F51}"/>
    <cellStyle name="60% - Accent3 12 3" xfId="4583" xr:uid="{3B448678-D3FC-44C4-9D53-17B0FAE72FDF}"/>
    <cellStyle name="60% - Accent3 12 4" xfId="4584" xr:uid="{D0A53E06-9D3A-488B-91CC-678BC0223CDE}"/>
    <cellStyle name="60% - Accent3 12 5" xfId="4585" xr:uid="{1266291D-AE5E-410E-8F5A-6654D25F5D7C}"/>
    <cellStyle name="60% - Accent3 12 6" xfId="4586" xr:uid="{C76D003A-4B49-481B-809E-C30B03007CF5}"/>
    <cellStyle name="60% - Accent3 12 7" xfId="4587" xr:uid="{19B25BB0-954C-42C3-8874-EA4C5D48E352}"/>
    <cellStyle name="60% - Accent3 13" xfId="1023" xr:uid="{E1A5B80F-69DF-4C0A-A15B-536CD6056CD2}"/>
    <cellStyle name="60% - Accent3 13 2" xfId="4588" xr:uid="{B5A206EE-2001-43B6-9057-AC6B2BCF28AA}"/>
    <cellStyle name="60% - Accent3 14" xfId="1024" xr:uid="{AAA9BD43-6DCB-49ED-8D85-68E3EEEB6645}"/>
    <cellStyle name="60% - Accent3 14 2" xfId="4589" xr:uid="{58DB4BB8-C834-45EC-997A-3E161675FBC0}"/>
    <cellStyle name="60% - Accent3 15" xfId="1025" xr:uid="{545907E2-8AF3-439B-A4E3-E37B9C5B03F2}"/>
    <cellStyle name="60% - Accent3 15 2" xfId="4590" xr:uid="{AE5A6F3F-DE38-4776-BCB1-F6CCAD2F4A6F}"/>
    <cellStyle name="60% - Accent3 16" xfId="1026" xr:uid="{2086A533-CC0F-43C4-AF99-BB42C9DBB077}"/>
    <cellStyle name="60% - Accent3 16 2" xfId="4591" xr:uid="{9E1D568F-C1AB-4CDF-BC9C-959E6A4A894C}"/>
    <cellStyle name="60% - Accent3 17" xfId="1027" xr:uid="{D861B097-4277-43A7-B832-CFCC9700314E}"/>
    <cellStyle name="60% - Accent3 17 2" xfId="4592" xr:uid="{C908A3D8-6FA4-45D4-88BC-F7BADCA01170}"/>
    <cellStyle name="60% - Accent3 18" xfId="1028" xr:uid="{BACA6874-E28B-4066-8BE9-C4C24B57C136}"/>
    <cellStyle name="60% - Accent3 18 2" xfId="4593" xr:uid="{7CC10846-DCD1-4DE2-A806-FADFEC1759A6}"/>
    <cellStyle name="60% - Accent3 19" xfId="1029" xr:uid="{CB5A21E5-2E24-4699-934C-0B8D31232DFC}"/>
    <cellStyle name="60% - Accent3 19 2" xfId="4594" xr:uid="{9A691DA2-73A1-4F7A-AE68-EC9F40EE3014}"/>
    <cellStyle name="60% - Accent3 2" xfId="1030" xr:uid="{BF5F0438-3FD6-4345-8E10-E87633861C0B}"/>
    <cellStyle name="60% - Accent3 2 2" xfId="1031" xr:uid="{342239C0-4D42-4EB8-AC25-20A953801718}"/>
    <cellStyle name="60% - Accent3 2 2 2" xfId="1032" xr:uid="{C63A86BF-B936-4B7F-A7AD-26C4DEADB5A2}"/>
    <cellStyle name="60% - Accent3 2 2 2 2" xfId="1033" xr:uid="{CAF9E620-8679-48B7-88E3-41E1FD5D8122}"/>
    <cellStyle name="60% - Accent3 2 2 2 3" xfId="1034" xr:uid="{6067BEB6-3F01-446B-B03F-B3FBFB5DEF2F}"/>
    <cellStyle name="60% - Accent3 2 2 3" xfId="1035" xr:uid="{589A6155-B154-47B2-B695-F5589EA30585}"/>
    <cellStyle name="60% - Accent3 2 2 4" xfId="1036" xr:uid="{E87AE246-C4C3-4960-B402-63357BD2882F}"/>
    <cellStyle name="60% - Accent3 2 2 5" xfId="4595" xr:uid="{B5B38B8B-9E0C-4D47-8267-28AB5128F657}"/>
    <cellStyle name="60% - Accent3 2 3" xfId="4596" xr:uid="{E62202F8-1390-400C-8BEA-7F01D0303DEE}"/>
    <cellStyle name="60% - Accent3 2 4" xfId="4597" xr:uid="{D23815C6-AA96-4DED-8729-3905F95BD216}"/>
    <cellStyle name="60% - Accent3 2 5" xfId="4598" xr:uid="{4CACA4BD-38E3-409D-A2EA-AD075F497D96}"/>
    <cellStyle name="60% - Accent3 2 6" xfId="4599" xr:uid="{1C591490-8274-4B52-A7D2-24884B002287}"/>
    <cellStyle name="60% - Accent3 2 7" xfId="4600" xr:uid="{7794B6EF-565F-485A-8F2E-A46A12F78DC2}"/>
    <cellStyle name="60% - Accent3 20" xfId="1037" xr:uid="{16B73300-75AB-41C4-A2BF-DB7408E738DC}"/>
    <cellStyle name="60% - Accent3 20 2" xfId="4601" xr:uid="{304D156F-C61E-445E-A0CB-723463DC8F03}"/>
    <cellStyle name="60% - Accent3 21" xfId="1038" xr:uid="{0A55F7CD-8ED8-46A8-B29C-CCA982F69E2F}"/>
    <cellStyle name="60% - Accent3 21 2" xfId="4602" xr:uid="{83F4980C-C9DF-4052-8476-FF428FE81F56}"/>
    <cellStyle name="60% - Accent3 22" xfId="1039" xr:uid="{958C3A3D-5867-4CF1-9980-0F1847BDDACD}"/>
    <cellStyle name="60% - Accent3 23" xfId="1040" xr:uid="{598A16C3-5F34-4310-9946-EAB364CBB4FF}"/>
    <cellStyle name="60% - Accent3 24" xfId="1041" xr:uid="{6B1E3F76-D295-4CBF-834B-6ED7FF6C0043}"/>
    <cellStyle name="60% - Accent3 25" xfId="1042" xr:uid="{539FB68C-A14D-4BD0-9B17-A135E9CF5EA1}"/>
    <cellStyle name="60% - Accent3 26" xfId="1043" xr:uid="{233A50F9-006F-4B72-8F5A-22B58B917F16}"/>
    <cellStyle name="60% - Accent3 3" xfId="1044" xr:uid="{2AA9852F-D8EC-441A-BA08-F6E1DC9FFECF}"/>
    <cellStyle name="60% - Accent3 3 2" xfId="1045" xr:uid="{F8011596-6754-40BB-AB94-1FFB53AA0C70}"/>
    <cellStyle name="60% - Accent3 3 2 2" xfId="1046" xr:uid="{CB791673-4AF6-4A45-8735-324D1D4D2238}"/>
    <cellStyle name="60% - Accent3 3 2 3" xfId="1047" xr:uid="{30846B13-4F39-4797-8384-802D9FC29528}"/>
    <cellStyle name="60% - Accent3 3 2 4" xfId="4603" xr:uid="{BEA00A43-CF0E-4750-A712-2D9F1B5622CF}"/>
    <cellStyle name="60% - Accent3 3 3" xfId="4604" xr:uid="{C980C4E9-F773-450D-8A4E-24F5759320DB}"/>
    <cellStyle name="60% - Accent3 3 4" xfId="4605" xr:uid="{18D3359D-84C0-480A-886A-ADAF02998BCB}"/>
    <cellStyle name="60% - Accent3 3 5" xfId="4606" xr:uid="{1DB2E657-6296-46C0-AE0D-CEE752FEC373}"/>
    <cellStyle name="60% - Accent3 3 6" xfId="4607" xr:uid="{B33A865D-0936-4D25-831B-CADC10680D43}"/>
    <cellStyle name="60% - Accent3 3 7" xfId="4608" xr:uid="{427924BE-C244-451A-97F3-719C8DBA236F}"/>
    <cellStyle name="60% - Accent3 3 8" xfId="3443" xr:uid="{21080F87-FD71-4587-B5C2-E29DA103A602}"/>
    <cellStyle name="60% - Accent3 4" xfId="1048" xr:uid="{01BEED70-DB80-4354-B366-6F8AEEEB8958}"/>
    <cellStyle name="60% - Accent3 4 2" xfId="1049" xr:uid="{86CCB0DD-6181-40EE-816C-E3626A8F2629}"/>
    <cellStyle name="60% - Accent3 4 2 2" xfId="1050" xr:uid="{BDC9B55C-4954-4B18-8C60-7F938D25E70F}"/>
    <cellStyle name="60% - Accent3 4 2 3" xfId="1051" xr:uid="{D3186A7D-C9FE-4328-864C-D22550DD02A6}"/>
    <cellStyle name="60% - Accent3 4 2 4" xfId="4609" xr:uid="{589DF1A5-3F2F-4411-BC3D-79A0E50B264D}"/>
    <cellStyle name="60% - Accent3 4 3" xfId="4610" xr:uid="{C75D2E7D-3663-47EA-873C-B436237B3005}"/>
    <cellStyle name="60% - Accent3 4 4" xfId="4611" xr:uid="{48C602EE-A8FE-4AEE-B440-55C9E66FF464}"/>
    <cellStyle name="60% - Accent3 4 5" xfId="4612" xr:uid="{D4F2E3A9-790A-49A2-8F2C-4A781D597838}"/>
    <cellStyle name="60% - Accent3 4 6" xfId="4613" xr:uid="{5516C546-B8F6-487C-B737-7EB7FC0D6810}"/>
    <cellStyle name="60% - Accent3 4 7" xfId="4614" xr:uid="{82AB1E1D-64FF-4121-B385-2EDE1D5EDC65}"/>
    <cellStyle name="60% - Accent3 5" xfId="1052" xr:uid="{9F2C5B8B-77CF-4831-A553-A2BB7542D313}"/>
    <cellStyle name="60% - Accent3 5 2" xfId="1053" xr:uid="{F75DDBB7-F0BC-45ED-93B2-4C4ADE8D6AE7}"/>
    <cellStyle name="60% - Accent3 5 2 2" xfId="1054" xr:uid="{CB8DAEED-91B9-4D69-A745-8107F1D5EA39}"/>
    <cellStyle name="60% - Accent3 5 2 3" xfId="1055" xr:uid="{4979EB32-F974-477F-825C-90357FDFD492}"/>
    <cellStyle name="60% - Accent3 5 2 4" xfId="4615" xr:uid="{DA088CFE-634F-4BB8-8FC6-49A95062B295}"/>
    <cellStyle name="60% - Accent3 5 3" xfId="4616" xr:uid="{33BE544B-7E7B-49F8-8678-646ED6745FAF}"/>
    <cellStyle name="60% - Accent3 5 4" xfId="4617" xr:uid="{FBEC9D94-18D6-4E93-8899-3D4A8569EB6E}"/>
    <cellStyle name="60% - Accent3 5 5" xfId="4618" xr:uid="{65F7988B-0480-4DFC-8D0D-2DB692A719B0}"/>
    <cellStyle name="60% - Accent3 5 6" xfId="4619" xr:uid="{831AE963-7ADB-45AD-AA56-A3D0D60C3D70}"/>
    <cellStyle name="60% - Accent3 5 7" xfId="4620" xr:uid="{E715F115-28FB-490E-A14B-C973460AA4B8}"/>
    <cellStyle name="60% - Accent3 6" xfId="1056" xr:uid="{D2DF163A-B6BC-4B29-97DA-69C48DB9F215}"/>
    <cellStyle name="60% - Accent3 6 2" xfId="1057" xr:uid="{362A8BF8-6C70-47A0-AA39-5B05B7275BA0}"/>
    <cellStyle name="60% - Accent3 6 2 2" xfId="1058" xr:uid="{EF943B39-76A0-4861-B505-BD352412C74E}"/>
    <cellStyle name="60% - Accent3 6 2 3" xfId="1059" xr:uid="{97D8ACDC-B24A-4B0F-B163-BAF49C99F650}"/>
    <cellStyle name="60% - Accent3 6 2 4" xfId="4621" xr:uid="{951EDDBD-8A7A-4840-B2EC-E18A9FF46B72}"/>
    <cellStyle name="60% - Accent3 6 3" xfId="4622" xr:uid="{02C015C1-A3FD-408F-95CF-457940934BC0}"/>
    <cellStyle name="60% - Accent3 6 4" xfId="4623" xr:uid="{3979A226-B11F-4C03-8224-E4653D9400D0}"/>
    <cellStyle name="60% - Accent3 6 5" xfId="4624" xr:uid="{9B57AB5F-8880-4D02-A1E1-5C44AB5983D3}"/>
    <cellStyle name="60% - Accent3 6 6" xfId="4625" xr:uid="{35CD6FE2-4D9D-4A1D-B8BB-56A6F3215F39}"/>
    <cellStyle name="60% - Accent3 6 7" xfId="4626" xr:uid="{82F66291-2FCC-4303-833A-5AF6B99E41FB}"/>
    <cellStyle name="60% - Accent3 7" xfId="1060" xr:uid="{F6F423E6-0128-4D1C-9AE0-FDBED967D45A}"/>
    <cellStyle name="60% - Accent3 7 2" xfId="1061" xr:uid="{C3A1989D-1CF1-4E7A-9695-AED9E38CF7D0}"/>
    <cellStyle name="60% - Accent3 7 2 2" xfId="1062" xr:uid="{BEE71AD3-A3E6-4DDD-8FA4-FB0EDCDD0FEA}"/>
    <cellStyle name="60% - Accent3 7 2 3" xfId="1063" xr:uid="{0924F451-16B7-4BF1-8B0D-A3170670C416}"/>
    <cellStyle name="60% - Accent3 7 2 4" xfId="4627" xr:uid="{5A8AFD28-C58D-4862-AF5D-5F6D36593FD9}"/>
    <cellStyle name="60% - Accent3 7 3" xfId="4628" xr:uid="{4A7163C8-9422-4F13-85A3-98508BDE1DEA}"/>
    <cellStyle name="60% - Accent3 7 4" xfId="4629" xr:uid="{A4390468-A540-46A0-BE7C-A19FBBB84661}"/>
    <cellStyle name="60% - Accent3 7 5" xfId="4630" xr:uid="{2FDFAB3A-4E7C-4530-A876-7288C53950DA}"/>
    <cellStyle name="60% - Accent3 7 6" xfId="4631" xr:uid="{22CE76EF-44F4-41A4-AEEF-382F837E36DF}"/>
    <cellStyle name="60% - Accent3 7 7" xfId="4632" xr:uid="{F594BCF9-380E-42D6-844A-F11D503507B5}"/>
    <cellStyle name="60% - Accent3 8" xfId="1064" xr:uid="{7430D262-2429-4948-8849-F8020D8AF904}"/>
    <cellStyle name="60% - Accent3 8 2" xfId="1065" xr:uid="{EAF28331-0C23-453C-B42E-114A9CD67571}"/>
    <cellStyle name="60% - Accent3 8 2 2" xfId="1066" xr:uid="{CFBCF78E-D684-4DD7-9379-3FC332702185}"/>
    <cellStyle name="60% - Accent3 8 2 3" xfId="1067" xr:uid="{7B3B2216-D68A-4615-B107-44FC52D2E960}"/>
    <cellStyle name="60% - Accent3 8 2 4" xfId="4633" xr:uid="{D152C5BD-B4E2-4C82-BBDF-AF4C22E4A158}"/>
    <cellStyle name="60% - Accent3 8 3" xfId="4634" xr:uid="{B1971D78-322B-4A9C-84D5-59C099A791E9}"/>
    <cellStyle name="60% - Accent3 8 4" xfId="4635" xr:uid="{80D987F1-5B21-4A22-B446-833AF8150BA5}"/>
    <cellStyle name="60% - Accent3 8 5" xfId="4636" xr:uid="{16BAC3A8-1153-49EC-8ED7-ED197A37DAF2}"/>
    <cellStyle name="60% - Accent3 8 6" xfId="4637" xr:uid="{7BFC14C1-F659-464D-B562-6B8C4C94B46E}"/>
    <cellStyle name="60% - Accent3 8 7" xfId="4638" xr:uid="{DFE35281-05CE-49AD-943F-34052B016AC3}"/>
    <cellStyle name="60% - Accent3 9" xfId="1068" xr:uid="{84613F9F-A872-4047-A6BA-649E9747E425}"/>
    <cellStyle name="60% - Accent3 9 2" xfId="1069" xr:uid="{B8F92D8C-1C61-4C87-9267-457F90995D65}"/>
    <cellStyle name="60% - Accent3 9 2 2" xfId="1070" xr:uid="{3391F60A-1C78-404D-9098-531B2817D538}"/>
    <cellStyle name="60% - Accent3 9 2 3" xfId="1071" xr:uid="{5CF648DF-7567-4C67-B411-2163A3676A2E}"/>
    <cellStyle name="60% - Accent3 9 2 4" xfId="4639" xr:uid="{8B88A467-EDCD-4F1D-90E9-9DD68C4C16B3}"/>
    <cellStyle name="60% - Accent3 9 3" xfId="4640" xr:uid="{D8D429D1-1CB9-4A3E-9100-42811846296D}"/>
    <cellStyle name="60% - Accent3 9 4" xfId="4641" xr:uid="{6843A25A-0196-4070-B255-1C3BC860FA50}"/>
    <cellStyle name="60% - Accent3 9 5" xfId="4642" xr:uid="{5D4CC4A2-C20D-4841-933F-DDA900D41964}"/>
    <cellStyle name="60% - Accent3 9 6" xfId="4643" xr:uid="{59CBAC5E-FDEF-4B5D-A280-0E883A5EC531}"/>
    <cellStyle name="60% - Accent3 9 7" xfId="4644" xr:uid="{75C1F46C-41FB-41BF-86D7-A71233AA8013}"/>
    <cellStyle name="60% - Accent4 10" xfId="1072" xr:uid="{C27461AF-1CA3-4DC6-AD0A-C7997903D2FE}"/>
    <cellStyle name="60% - Accent4 10 2" xfId="1073" xr:uid="{FA49D013-1EDF-4724-A9C7-7BC02B0A97AD}"/>
    <cellStyle name="60% - Accent4 10 2 2" xfId="1074" xr:uid="{72B580BE-45DE-48A2-8D6B-5BBCFBD32169}"/>
    <cellStyle name="60% - Accent4 10 2 3" xfId="1075" xr:uid="{1DDFAC44-697E-420C-94EE-C86794AE7B96}"/>
    <cellStyle name="60% - Accent4 10 2 4" xfId="4645" xr:uid="{A7873033-A365-4E14-922C-EC7F9AA1D297}"/>
    <cellStyle name="60% - Accent4 10 3" xfId="4646" xr:uid="{5A08ABB4-1B37-44FA-B55E-42EB56925C6D}"/>
    <cellStyle name="60% - Accent4 10 4" xfId="4647" xr:uid="{EAD3A5A3-BEC6-4C39-8865-808ECC3F37B7}"/>
    <cellStyle name="60% - Accent4 10 5" xfId="4648" xr:uid="{F639E51A-3A53-41A5-AF10-881A9AB2E38A}"/>
    <cellStyle name="60% - Accent4 10 6" xfId="4649" xr:uid="{71B14CA6-337B-434D-8D03-BCEF26627148}"/>
    <cellStyle name="60% - Accent4 10 7" xfId="4650" xr:uid="{04097C38-CCB8-49D2-BFFF-D19AF64698DB}"/>
    <cellStyle name="60% - Accent4 11" xfId="1076" xr:uid="{FFA6C345-5471-49F1-8CD2-8F4DD59BAD49}"/>
    <cellStyle name="60% - Accent4 11 2" xfId="1077" xr:uid="{9DE224FC-258C-4504-A4B2-D1D4F3853E25}"/>
    <cellStyle name="60% - Accent4 11 2 2" xfId="1078" xr:uid="{031717CD-5650-466F-9A32-8E5B02F8DE1C}"/>
    <cellStyle name="60% - Accent4 11 2 3" xfId="1079" xr:uid="{FF0FCA79-7490-4F86-A766-BE8ED313D14E}"/>
    <cellStyle name="60% - Accent4 11 2 4" xfId="4651" xr:uid="{50ED085B-5CE8-48BB-B504-7C77FA8717F1}"/>
    <cellStyle name="60% - Accent4 11 3" xfId="4652" xr:uid="{63C7F35E-6B46-4700-8405-65A67F47C098}"/>
    <cellStyle name="60% - Accent4 11 4" xfId="4653" xr:uid="{C3D46516-CCB4-45A2-A230-C659F025096D}"/>
    <cellStyle name="60% - Accent4 11 5" xfId="4654" xr:uid="{ADD2EBAD-5137-4981-8D05-B55E5AA006F9}"/>
    <cellStyle name="60% - Accent4 11 6" xfId="4655" xr:uid="{EA02553E-E1F4-4410-B2AD-C91033EDA59A}"/>
    <cellStyle name="60% - Accent4 11 7" xfId="4656" xr:uid="{857D615A-F256-471D-9852-3FD5FF59CEFD}"/>
    <cellStyle name="60% - Accent4 12" xfId="1080" xr:uid="{F6F20B49-CA5B-4D49-A2D5-E870943E8003}"/>
    <cellStyle name="60% - Accent4 12 2" xfId="1081" xr:uid="{CE426121-4377-40DA-85A0-01D0C53BDD7D}"/>
    <cellStyle name="60% - Accent4 12 2 2" xfId="1082" xr:uid="{F3306903-0AAD-4103-A9EB-6B6A6D722EB7}"/>
    <cellStyle name="60% - Accent4 12 2 3" xfId="1083" xr:uid="{51AC2E41-66A9-419F-9FAC-F9C50D1514E3}"/>
    <cellStyle name="60% - Accent4 12 2 4" xfId="4657" xr:uid="{4E47F777-F95F-4977-A01A-1EDC77C72407}"/>
    <cellStyle name="60% - Accent4 12 3" xfId="4658" xr:uid="{7E2083C8-44AE-4B9B-B04C-3ACA11A71ABE}"/>
    <cellStyle name="60% - Accent4 12 4" xfId="4659" xr:uid="{ECA98A74-7F0F-4579-8D9F-5761B5E98B4E}"/>
    <cellStyle name="60% - Accent4 12 5" xfId="4660" xr:uid="{3DE5CA28-9AB0-462F-8829-94CC6297A831}"/>
    <cellStyle name="60% - Accent4 12 6" xfId="4661" xr:uid="{AFB99F89-4EBF-4EFB-BDEF-2921DF733D57}"/>
    <cellStyle name="60% - Accent4 12 7" xfId="4662" xr:uid="{D334FD68-0B5C-42AF-BCBD-37E5CA4B2496}"/>
    <cellStyle name="60% - Accent4 13" xfId="1084" xr:uid="{F25AF210-D964-4BB5-A5D3-8EC543C66D46}"/>
    <cellStyle name="60% - Accent4 13 2" xfId="4663" xr:uid="{47BD1311-58F6-4440-81F2-2159829928DA}"/>
    <cellStyle name="60% - Accent4 14" xfId="1085" xr:uid="{7C7D848A-C276-4527-913A-81D18F60197D}"/>
    <cellStyle name="60% - Accent4 14 2" xfId="4664" xr:uid="{3B67A6E2-0B18-418E-88FA-6D091A674ABA}"/>
    <cellStyle name="60% - Accent4 15" xfId="1086" xr:uid="{FE514195-6202-4168-8D4B-753331A64126}"/>
    <cellStyle name="60% - Accent4 15 2" xfId="4665" xr:uid="{B24DE084-D067-43F5-94A3-1C8CEB44B19B}"/>
    <cellStyle name="60% - Accent4 16" xfId="1087" xr:uid="{A9A23DE8-485C-491F-A1D3-456B61EE0008}"/>
    <cellStyle name="60% - Accent4 16 2" xfId="4666" xr:uid="{50CB88F2-D13A-4BBF-9895-CBD57F517A72}"/>
    <cellStyle name="60% - Accent4 17" xfId="1088" xr:uid="{6219C058-D5B5-4AB0-9C76-9191F53A31F1}"/>
    <cellStyle name="60% - Accent4 17 2" xfId="4667" xr:uid="{69ABC71E-18C8-4ABE-B298-420ACD222138}"/>
    <cellStyle name="60% - Accent4 18" xfId="1089" xr:uid="{C6E4BF95-DDC2-4DFE-A80A-201C7FEF0F8A}"/>
    <cellStyle name="60% - Accent4 18 2" xfId="4668" xr:uid="{A4F1EEB7-9380-45E2-BCB4-B42B7F8AAF9E}"/>
    <cellStyle name="60% - Accent4 19" xfId="1090" xr:uid="{B062B7D4-D372-4AF6-81C3-9AAFC31DA592}"/>
    <cellStyle name="60% - Accent4 19 2" xfId="4669" xr:uid="{66583B01-0B32-40EE-9440-31102E3FEEEE}"/>
    <cellStyle name="60% - Accent4 2" xfId="1091" xr:uid="{DA2DE70C-CB3A-4F72-A26C-9558760A399E}"/>
    <cellStyle name="60% - Accent4 2 2" xfId="1092" xr:uid="{0EA170EA-42B9-4CB0-BF99-51BCBCFCEE95}"/>
    <cellStyle name="60% - Accent4 2 2 2" xfId="1093" xr:uid="{F468B476-93A0-492D-9F12-E03B7FA029E5}"/>
    <cellStyle name="60% - Accent4 2 2 2 2" xfId="1094" xr:uid="{4C0511F0-4E5C-4A9A-B07F-7E3329505CAA}"/>
    <cellStyle name="60% - Accent4 2 2 2 3" xfId="1095" xr:uid="{1621B6F3-6B5A-47B9-A73F-92E12D80C74B}"/>
    <cellStyle name="60% - Accent4 2 2 3" xfId="1096" xr:uid="{A985A6CE-2BE7-42BA-BAEE-A38AC486D44C}"/>
    <cellStyle name="60% - Accent4 2 2 4" xfId="1097" xr:uid="{BB921CFD-91A2-41A6-BA98-6235A9350B85}"/>
    <cellStyle name="60% - Accent4 2 2 5" xfId="4670" xr:uid="{CD40672C-2304-4410-9772-D89B699AE597}"/>
    <cellStyle name="60% - Accent4 2 3" xfId="4671" xr:uid="{BD1F8874-EF4B-497E-96CE-160DBAC00733}"/>
    <cellStyle name="60% - Accent4 2 4" xfId="4672" xr:uid="{D46282B0-3658-4891-BF7D-EA89F8DFAEE7}"/>
    <cellStyle name="60% - Accent4 2 5" xfId="4673" xr:uid="{9A51D1EA-F787-4643-8826-2B4894735C11}"/>
    <cellStyle name="60% - Accent4 2 6" xfId="4674" xr:uid="{032A526C-8691-424D-A982-272A34E0293E}"/>
    <cellStyle name="60% - Accent4 2 7" xfId="4675" xr:uid="{E9F5F233-A731-4D4D-80A0-2EB360DC9A5F}"/>
    <cellStyle name="60% - Accent4 20" xfId="1098" xr:uid="{FD1082F2-12E2-4E25-9E13-E33206F0F97E}"/>
    <cellStyle name="60% - Accent4 20 2" xfId="4676" xr:uid="{26D7E32F-337B-463B-843C-C69B859C681B}"/>
    <cellStyle name="60% - Accent4 21" xfId="1099" xr:uid="{8EBA9AB7-B94E-4AD7-9A68-94ABF7DBE0A3}"/>
    <cellStyle name="60% - Accent4 21 2" xfId="4677" xr:uid="{D4D3B8C4-4E55-4AFA-B4EF-488F266C57E8}"/>
    <cellStyle name="60% - Accent4 22" xfId="1100" xr:uid="{EC0DA766-F5DE-4C86-BE9F-931FDF80F6A8}"/>
    <cellStyle name="60% - Accent4 23" xfId="1101" xr:uid="{55060310-A874-4B00-A988-5F18DCE181BD}"/>
    <cellStyle name="60% - Accent4 24" xfId="1102" xr:uid="{C4940599-7B7C-453D-BA6F-B04C79E6EF08}"/>
    <cellStyle name="60% - Accent4 25" xfId="1103" xr:uid="{E4CF459A-FBA9-411A-8492-AF9A2669E0A1}"/>
    <cellStyle name="60% - Accent4 26" xfId="1104" xr:uid="{95E708EB-3777-4007-8C80-07AEBB78AA3B}"/>
    <cellStyle name="60% - Accent4 3" xfId="1105" xr:uid="{5923A3CA-A07A-4057-AE58-436A8303998B}"/>
    <cellStyle name="60% - Accent4 3 2" xfId="1106" xr:uid="{E6B60228-7B19-4CD6-B203-7B83E82E6489}"/>
    <cellStyle name="60% - Accent4 3 2 2" xfId="1107" xr:uid="{FFDA967F-E4C0-4BB6-A0C2-59D857D20BB6}"/>
    <cellStyle name="60% - Accent4 3 2 3" xfId="1108" xr:uid="{E4997350-8B53-412A-B2D2-553E7647CB7C}"/>
    <cellStyle name="60% - Accent4 3 2 4" xfId="4678" xr:uid="{05A5B966-6BB6-461E-9FAF-FCE770CCEC9B}"/>
    <cellStyle name="60% - Accent4 3 3" xfId="4679" xr:uid="{AC8F3366-9E90-47CB-ADCC-76E1466E86B1}"/>
    <cellStyle name="60% - Accent4 3 4" xfId="4680" xr:uid="{42F25106-954E-4A9F-B3E5-3D2AD0FFDB40}"/>
    <cellStyle name="60% - Accent4 3 5" xfId="4681" xr:uid="{77230B9C-6846-47AD-9846-BF9B77E80B96}"/>
    <cellStyle name="60% - Accent4 3 6" xfId="4682" xr:uid="{B5D488E4-FF80-4B34-9555-59908F92A75F}"/>
    <cellStyle name="60% - Accent4 3 7" xfId="4683" xr:uid="{0988EDCE-9A33-4ED0-863A-CF3BF8DC3E8B}"/>
    <cellStyle name="60% - Accent4 3 8" xfId="3441" xr:uid="{60FB052A-B386-4699-9F85-B2F9B3FE3740}"/>
    <cellStyle name="60% - Accent4 4" xfId="1109" xr:uid="{45A2AD17-6CCC-43A0-806F-C4423A819316}"/>
    <cellStyle name="60% - Accent4 4 2" xfId="1110" xr:uid="{809A3BAA-2586-4066-938A-7D7EAF0FD4BA}"/>
    <cellStyle name="60% - Accent4 4 2 2" xfId="1111" xr:uid="{0F8E32D9-1E0B-4E55-84C3-4B0007C1FF9B}"/>
    <cellStyle name="60% - Accent4 4 2 3" xfId="1112" xr:uid="{D6002A9C-4365-4033-8E11-32E88B068B64}"/>
    <cellStyle name="60% - Accent4 4 2 4" xfId="4685" xr:uid="{BB2E05C3-D404-470D-9C13-E0ADF56D01FF}"/>
    <cellStyle name="60% - Accent4 4 3" xfId="4686" xr:uid="{C165F750-4A3F-4EF3-9AE6-09552703E5D2}"/>
    <cellStyle name="60% - Accent4 4 4" xfId="4687" xr:uid="{F7259C0D-3A6A-4BFC-9A4B-AA9F384BE8B2}"/>
    <cellStyle name="60% - Accent4 4 5" xfId="4688" xr:uid="{2BB84249-9D11-4E95-9B42-C48557420639}"/>
    <cellStyle name="60% - Accent4 4 6" xfId="4689" xr:uid="{B62CF13E-26BA-4196-B4A2-279A504E7A5A}"/>
    <cellStyle name="60% - Accent4 4 7" xfId="4690" xr:uid="{BFE12AD8-CC0D-43F3-B907-02D12720A003}"/>
    <cellStyle name="60% - Accent4 4 8" xfId="4684" xr:uid="{42796439-92E9-4A7F-8FA0-E342216EE775}"/>
    <cellStyle name="60% - Accent4 5" xfId="1113" xr:uid="{296F60C3-6AA7-4378-9638-C91BEAC5AB21}"/>
    <cellStyle name="60% - Accent4 5 2" xfId="1114" xr:uid="{C54B3887-4DE9-459A-822F-14597EE0D35C}"/>
    <cellStyle name="60% - Accent4 5 2 2" xfId="1115" xr:uid="{4ABAAC72-4C49-4BBD-B53E-891DEA9CE457}"/>
    <cellStyle name="60% - Accent4 5 2 3" xfId="1116" xr:uid="{F01F5862-CEEC-43B7-AB65-3930F3971A19}"/>
    <cellStyle name="60% - Accent4 5 2 4" xfId="4692" xr:uid="{482B2A5A-50B5-4B8A-B262-42E8DA454699}"/>
    <cellStyle name="60% - Accent4 5 3" xfId="4693" xr:uid="{7639A88D-98C9-4B3D-93B2-226BDAD30DB7}"/>
    <cellStyle name="60% - Accent4 5 4" xfId="4694" xr:uid="{BB2AEE1A-D87E-46AD-B2B3-DFE307FCA7A0}"/>
    <cellStyle name="60% - Accent4 5 5" xfId="4695" xr:uid="{F9BE78BF-BD6D-4E36-B0E9-032FE97758EB}"/>
    <cellStyle name="60% - Accent4 5 6" xfId="4696" xr:uid="{AAC308E9-A562-4C89-8307-37FB4CA1F22A}"/>
    <cellStyle name="60% - Accent4 5 7" xfId="4697" xr:uid="{077FB14F-6AD1-4FD8-8991-B7F48CF8F14C}"/>
    <cellStyle name="60% - Accent4 5 8" xfId="4691" xr:uid="{01ADB7CB-6484-4666-9B5B-209E63EC5762}"/>
    <cellStyle name="60% - Accent4 6" xfId="1117" xr:uid="{751D5CF6-5789-4E4A-BF93-518AD848370A}"/>
    <cellStyle name="60% - Accent4 6 2" xfId="1118" xr:uid="{7A6DBA54-076F-4903-8C1B-03C652CCD8EE}"/>
    <cellStyle name="60% - Accent4 6 2 2" xfId="1119" xr:uid="{2CB37D73-081A-41F1-86B3-C13244233B51}"/>
    <cellStyle name="60% - Accent4 6 2 3" xfId="1120" xr:uid="{05302D09-09F1-470E-9EFE-4D057DC3C8AB}"/>
    <cellStyle name="60% - Accent4 6 2 4" xfId="4698" xr:uid="{062DD359-2418-48BE-8DC5-E846C87B8C5D}"/>
    <cellStyle name="60% - Accent4 6 3" xfId="4699" xr:uid="{7A753F17-99D4-42C0-BF34-532B05465C40}"/>
    <cellStyle name="60% - Accent4 6 4" xfId="4700" xr:uid="{7A132EBA-692E-437A-A6C2-E8EC926C098B}"/>
    <cellStyle name="60% - Accent4 6 5" xfId="4701" xr:uid="{631DADF5-52C2-4EEF-8142-772BBC4655E8}"/>
    <cellStyle name="60% - Accent4 6 6" xfId="4702" xr:uid="{E2741BFB-D92F-408F-B2CF-CC2BDD89DA7D}"/>
    <cellStyle name="60% - Accent4 6 7" xfId="4703" xr:uid="{23BA26FC-AEE5-4039-9D0D-4616DCA7D8A6}"/>
    <cellStyle name="60% - Accent4 7" xfId="1121" xr:uid="{E222AB9B-AADC-4141-96B2-58208C9FF3E8}"/>
    <cellStyle name="60% - Accent4 7 2" xfId="1122" xr:uid="{F62E7757-99EC-43B3-B544-CD637BBBC350}"/>
    <cellStyle name="60% - Accent4 7 2 2" xfId="1123" xr:uid="{78950C9B-FC4B-4F9E-B98E-3A460E34D8A7}"/>
    <cellStyle name="60% - Accent4 7 2 3" xfId="1124" xr:uid="{5597F5E0-5DAA-4C30-BA9F-65239FE8C959}"/>
    <cellStyle name="60% - Accent4 7 2 4" xfId="4704" xr:uid="{FF7048D5-EAD0-4C8F-9038-CBA272E14831}"/>
    <cellStyle name="60% - Accent4 7 3" xfId="4705" xr:uid="{9065AB9E-8591-4B22-B6DF-9FFB441F144D}"/>
    <cellStyle name="60% - Accent4 7 4" xfId="4706" xr:uid="{56EFC1A6-0DED-4D96-AEA4-236918028D8A}"/>
    <cellStyle name="60% - Accent4 7 5" xfId="4707" xr:uid="{BCAA9E6A-7544-452A-892F-DA6554C6E792}"/>
    <cellStyle name="60% - Accent4 7 6" xfId="4708" xr:uid="{70BBDF8D-8E13-49B9-A560-CEE7B8B6E262}"/>
    <cellStyle name="60% - Accent4 7 7" xfId="4709" xr:uid="{5023ACB9-CD09-4D01-B279-9493ADF05CA3}"/>
    <cellStyle name="60% - Accent4 8" xfId="1125" xr:uid="{B8B999F6-1CBB-42A3-B5FA-5AE7F277FC7F}"/>
    <cellStyle name="60% - Accent4 8 2" xfId="1126" xr:uid="{46E9D1CC-619C-4CB2-8655-B79B0E2E2196}"/>
    <cellStyle name="60% - Accent4 8 2 2" xfId="1127" xr:uid="{62455C13-CDFC-4FBD-9995-D65CD7A391E3}"/>
    <cellStyle name="60% - Accent4 8 2 3" xfId="1128" xr:uid="{DD3B1340-273D-4CBC-83A3-ABEF32BC4891}"/>
    <cellStyle name="60% - Accent4 8 2 4" xfId="4710" xr:uid="{5A334053-2DD9-42A2-9CAD-BCE0317B67A1}"/>
    <cellStyle name="60% - Accent4 8 3" xfId="4711" xr:uid="{CB865D57-4017-4C70-961C-5E37C98C3329}"/>
    <cellStyle name="60% - Accent4 8 4" xfId="4712" xr:uid="{87A9EC0F-17C9-4C68-A700-9577B3594EB1}"/>
    <cellStyle name="60% - Accent4 8 5" xfId="4713" xr:uid="{B230AD45-C90A-49A2-841F-67A655BEACC2}"/>
    <cellStyle name="60% - Accent4 8 6" xfId="4714" xr:uid="{1C8C354E-F495-40C6-AB31-70F2716E8234}"/>
    <cellStyle name="60% - Accent4 8 7" xfId="4715" xr:uid="{8FA9E5D8-1961-4F4C-A54F-A7EF5FF9DA4C}"/>
    <cellStyle name="60% - Accent4 9" xfId="1129" xr:uid="{EBD9EF88-BDC0-4C4B-86EA-20A18D95CA42}"/>
    <cellStyle name="60% - Accent4 9 2" xfId="1130" xr:uid="{7F3C9EB5-81EE-44AD-AFB9-A61B005168E9}"/>
    <cellStyle name="60% - Accent4 9 2 2" xfId="1131" xr:uid="{F4C7B473-7D11-418B-B8D9-F8F2497F2E82}"/>
    <cellStyle name="60% - Accent4 9 2 3" xfId="1132" xr:uid="{7FA0F8C7-CF55-4C01-8413-150B12286CF6}"/>
    <cellStyle name="60% - Accent4 9 2 4" xfId="4716" xr:uid="{10AB0794-7B85-4BFE-8998-C3EE67ADD29E}"/>
    <cellStyle name="60% - Accent4 9 3" xfId="4717" xr:uid="{0F197C94-DB50-4259-BEE5-75F3197BDD71}"/>
    <cellStyle name="60% - Accent4 9 4" xfId="4718" xr:uid="{C5CD7851-DE37-4917-831B-EEB9FF6BC9BA}"/>
    <cellStyle name="60% - Accent4 9 5" xfId="4719" xr:uid="{1AA21C7F-8F6C-4ADB-8BF9-B8C658316C90}"/>
    <cellStyle name="60% - Accent4 9 6" xfId="4720" xr:uid="{568ED0C8-2C15-40A0-9759-BD2D2439F985}"/>
    <cellStyle name="60% - Accent4 9 7" xfId="4721" xr:uid="{C971F47B-AF63-4652-AF99-911BC6AF305E}"/>
    <cellStyle name="60% - Accent5 10" xfId="1133" xr:uid="{5A02F8BF-2959-40C2-B8DF-A7EF44FA4D75}"/>
    <cellStyle name="60% - Accent5 10 2" xfId="1134" xr:uid="{1531BE7A-60D9-432F-8298-ECB64AB23700}"/>
    <cellStyle name="60% - Accent5 10 2 2" xfId="4722" xr:uid="{2F8EDBF2-0DB2-45B6-A935-08F652625ACA}"/>
    <cellStyle name="60% - Accent5 10 3" xfId="4723" xr:uid="{48D90ADB-9AEC-41FB-85E5-ECC2995B3AF6}"/>
    <cellStyle name="60% - Accent5 10 4" xfId="4724" xr:uid="{1ED109CA-FD98-4F22-BA8D-EFE7FF2D7BE0}"/>
    <cellStyle name="60% - Accent5 10 5" xfId="4725" xr:uid="{5925E918-09F9-451C-B8C6-58DD476F4784}"/>
    <cellStyle name="60% - Accent5 10 6" xfId="4726" xr:uid="{0F16CBDC-B666-4937-B31D-BAA0A0380ACE}"/>
    <cellStyle name="60% - Accent5 10 7" xfId="4727" xr:uid="{B80BFCD3-E512-4F8D-A987-7C162CDE9B0D}"/>
    <cellStyle name="60% - Accent5 11" xfId="1135" xr:uid="{1E461C2F-F818-40F8-8454-9925EE81DC4B}"/>
    <cellStyle name="60% - Accent5 11 2" xfId="1136" xr:uid="{B2A03162-299C-448E-9A49-7B59450D0397}"/>
    <cellStyle name="60% - Accent5 11 2 2" xfId="4728" xr:uid="{C830C6F7-83E0-4929-B8F1-32DC8A91302A}"/>
    <cellStyle name="60% - Accent5 11 3" xfId="4729" xr:uid="{B2C5D905-1359-4F0F-BFA3-BBBF2D7FBF36}"/>
    <cellStyle name="60% - Accent5 11 4" xfId="4730" xr:uid="{3A5BDC63-E859-42C1-AEAD-D32BA964CB33}"/>
    <cellStyle name="60% - Accent5 11 5" xfId="4731" xr:uid="{44BBF47D-231A-47A6-816A-307C26860C4C}"/>
    <cellStyle name="60% - Accent5 11 6" xfId="4732" xr:uid="{EBC722C5-1045-427C-876D-1E6A09F8ADB8}"/>
    <cellStyle name="60% - Accent5 11 7" xfId="4733" xr:uid="{DB324AD7-7117-4146-B15E-A78EAF57CEED}"/>
    <cellStyle name="60% - Accent5 12" xfId="1137" xr:uid="{E0BDE7B8-5BB9-4621-AE91-915869EDCCD1}"/>
    <cellStyle name="60% - Accent5 12 2" xfId="1138" xr:uid="{B5B4BE64-382E-42A1-B4A4-9BC97D898203}"/>
    <cellStyle name="60% - Accent5 12 2 2" xfId="4734" xr:uid="{AA74366E-FE49-4147-81D8-F5E4445C2608}"/>
    <cellStyle name="60% - Accent5 12 3" xfId="4735" xr:uid="{FAC3626F-23F8-4289-81CB-CD744A592368}"/>
    <cellStyle name="60% - Accent5 12 4" xfId="4736" xr:uid="{4B2099EF-7D83-4BB6-9CA3-C658E7337E5E}"/>
    <cellStyle name="60% - Accent5 12 5" xfId="4737" xr:uid="{C775F927-7D6C-4255-BB85-69B517C7527F}"/>
    <cellStyle name="60% - Accent5 12 6" xfId="4738" xr:uid="{F5640AB2-ED5E-4E1B-8FBA-C30D3D67F618}"/>
    <cellStyle name="60% - Accent5 12 7" xfId="4739" xr:uid="{E7020A78-7E11-4D3D-AAA9-36E9FE4B5AD7}"/>
    <cellStyle name="60% - Accent5 13" xfId="1139" xr:uid="{23E26596-FFDD-40B7-9AA7-CCD6D385D146}"/>
    <cellStyle name="60% - Accent5 13 2" xfId="4740" xr:uid="{50C18C14-8CDB-410D-8B04-B57B2FFC3FBF}"/>
    <cellStyle name="60% - Accent5 14 2" xfId="4741" xr:uid="{ADCF7184-AA7D-4D47-B1A5-AACFD21E9E70}"/>
    <cellStyle name="60% - Accent5 15 2" xfId="4742" xr:uid="{9039E3E6-1514-40E9-AAFA-0B23AD294F78}"/>
    <cellStyle name="60% - Accent5 16 2" xfId="4743" xr:uid="{885C1BBE-8955-4824-A96C-16907ADC1227}"/>
    <cellStyle name="60% - Accent5 17 2" xfId="4744" xr:uid="{B4AE6F63-9CBC-44B1-AF2B-0CF3E4E32248}"/>
    <cellStyle name="60% - Accent5 18 2" xfId="4745" xr:uid="{9A6E23FA-F063-43BA-BAC3-E0674A9CFC9D}"/>
    <cellStyle name="60% - Accent5 19 2" xfId="4746" xr:uid="{BE18583D-4461-4C4F-B813-9135B653C579}"/>
    <cellStyle name="60% - Accent5 2" xfId="1140" xr:uid="{FC87A0F6-3A34-4820-B70B-C1AD8422E1E6}"/>
    <cellStyle name="60% - Accent5 2 2" xfId="1141" xr:uid="{A32EE0C5-6B7C-4269-83C6-6937DEA8E3FE}"/>
    <cellStyle name="60% - Accent5 2 2 2" xfId="1142" xr:uid="{4D0CE04C-551F-48D6-A1E1-E33802AC63B7}"/>
    <cellStyle name="60% - Accent5 2 2 3" xfId="4747" xr:uid="{0CB899CA-08DD-46E3-9EB9-D4AA538F4E10}"/>
    <cellStyle name="60% - Accent5 2 3" xfId="1143" xr:uid="{EEBBAFD2-B46D-4476-ADA7-EB7674E17CA1}"/>
    <cellStyle name="60% - Accent5 2 3 2" xfId="4748" xr:uid="{50666AF3-2632-4D59-9253-234353CAA834}"/>
    <cellStyle name="60% - Accent5 2 4" xfId="4749" xr:uid="{EE18A628-FA65-4281-B243-17F8799237B6}"/>
    <cellStyle name="60% - Accent5 2 5" xfId="4750" xr:uid="{4EEEF864-B24A-426F-A05A-47478F3168CC}"/>
    <cellStyle name="60% - Accent5 2 6" xfId="4751" xr:uid="{ACC16A52-ACA6-4AE8-BCFE-1AAB8456DC5E}"/>
    <cellStyle name="60% - Accent5 2 7" xfId="4752" xr:uid="{46D30D1D-9F37-491D-9898-3FD425500CF8}"/>
    <cellStyle name="60% - Accent5 2 8" xfId="3416" xr:uid="{30898763-F158-427D-9B3F-DCCBFFB4B8D7}"/>
    <cellStyle name="60% - Accent5 20 2" xfId="4753" xr:uid="{1B1ECDC6-D50A-4E56-B5DE-24C7021ED471}"/>
    <cellStyle name="60% - Accent5 21 2" xfId="4754" xr:uid="{60BD40EF-BCB7-4C43-A6A9-F6C2259E58BC}"/>
    <cellStyle name="60% - Accent5 3" xfId="1144" xr:uid="{D3B7FA27-0579-4DDD-BB8E-767DD1212307}"/>
    <cellStyle name="60% - Accent5 3 2" xfId="1145" xr:uid="{5C7A8681-AF76-4BA7-8905-D3A2AB504A34}"/>
    <cellStyle name="60% - Accent5 3 2 2" xfId="4755" xr:uid="{7629880C-E971-4ED6-B499-557C1B93C9C3}"/>
    <cellStyle name="60% - Accent5 3 3" xfId="4756" xr:uid="{7491F6D4-2EBA-473D-B270-0088B7B1EB91}"/>
    <cellStyle name="60% - Accent5 3 4" xfId="4757" xr:uid="{A3CC36DE-BC2D-4B44-B250-EA10073E5A29}"/>
    <cellStyle name="60% - Accent5 3 5" xfId="4758" xr:uid="{DB026003-F741-42E3-BAAA-2317571494D6}"/>
    <cellStyle name="60% - Accent5 3 6" xfId="4759" xr:uid="{7DE8E332-B8E2-4E51-901C-A45591407AFE}"/>
    <cellStyle name="60% - Accent5 3 7" xfId="4760" xr:uid="{65E45F31-995D-40E5-99B1-2E3A133956ED}"/>
    <cellStyle name="60% - Accent5 4" xfId="1146" xr:uid="{FD2D2D54-BD71-4EBD-A27D-730E753AEF81}"/>
    <cellStyle name="60% - Accent5 4 2" xfId="1147" xr:uid="{A19E561B-E998-4A8D-B0D2-307F9CEF986E}"/>
    <cellStyle name="60% - Accent5 4 2 2" xfId="4762" xr:uid="{09EBFEF6-7D7D-4F76-AFBF-9FB4B9FE7AD4}"/>
    <cellStyle name="60% - Accent5 4 3" xfId="4763" xr:uid="{F3E7328C-C7EB-439E-B608-A697EA96966F}"/>
    <cellStyle name="60% - Accent5 4 4" xfId="4764" xr:uid="{2EB32606-F6AB-4CE1-9153-B4D716243F11}"/>
    <cellStyle name="60% - Accent5 4 5" xfId="4765" xr:uid="{92FA04BD-F25E-4FED-9B79-9A920F3CE63D}"/>
    <cellStyle name="60% - Accent5 4 6" xfId="4766" xr:uid="{ED821ADF-B3DF-4F13-8A58-04F21F31217F}"/>
    <cellStyle name="60% - Accent5 4 7" xfId="4767" xr:uid="{05967EDD-F7EB-4C86-9606-529DB5E5F5E2}"/>
    <cellStyle name="60% - Accent5 4 8" xfId="4761" xr:uid="{D90B2AE9-0462-4297-A91D-6D7D60554532}"/>
    <cellStyle name="60% - Accent5 5" xfId="1148" xr:uid="{304CA85F-0724-4835-BACE-1E594EE6CC45}"/>
    <cellStyle name="60% - Accent5 5 2" xfId="1149" xr:uid="{A6785D78-8E26-4C36-BFB0-53E0676972E0}"/>
    <cellStyle name="60% - Accent5 5 2 2" xfId="4769" xr:uid="{38755F7C-A881-4964-92CE-0E7233DE5556}"/>
    <cellStyle name="60% - Accent5 5 3" xfId="4770" xr:uid="{5B42712C-68A5-4B9B-B1EE-E892A524A3F8}"/>
    <cellStyle name="60% - Accent5 5 4" xfId="4771" xr:uid="{ADB40D73-0934-4C5C-B2EA-0B15D6C3A874}"/>
    <cellStyle name="60% - Accent5 5 5" xfId="4772" xr:uid="{150350C4-55AD-438A-B91D-3FE8AC9607F0}"/>
    <cellStyle name="60% - Accent5 5 6" xfId="4773" xr:uid="{4F86038E-6281-4F0A-B266-E6076DEA8B29}"/>
    <cellStyle name="60% - Accent5 5 7" xfId="4774" xr:uid="{994A3FE5-CB1E-4A2E-9FC5-E21F150097F2}"/>
    <cellStyle name="60% - Accent5 5 8" xfId="4768" xr:uid="{673C8FF3-08F2-47C0-8A51-FAC98CF3EC29}"/>
    <cellStyle name="60% - Accent5 6" xfId="1150" xr:uid="{39D6123B-AC4C-4728-A584-5EE3FBBDA198}"/>
    <cellStyle name="60% - Accent5 6 2" xfId="1151" xr:uid="{DB545AFB-4F49-476A-96DA-B3FBC77705B4}"/>
    <cellStyle name="60% - Accent5 6 2 2" xfId="4775" xr:uid="{EBDCA258-C368-41F2-B4D5-EB9C6E0F531A}"/>
    <cellStyle name="60% - Accent5 6 3" xfId="4776" xr:uid="{65DF3B7F-5BED-4012-A658-90A3F0A5FBC5}"/>
    <cellStyle name="60% - Accent5 6 4" xfId="4777" xr:uid="{58461441-6DFC-49AF-9014-2C047DA4D60E}"/>
    <cellStyle name="60% - Accent5 6 5" xfId="4778" xr:uid="{DF373BAC-1FC3-4D43-B2A5-0846DC24389D}"/>
    <cellStyle name="60% - Accent5 6 6" xfId="4779" xr:uid="{21F496F9-75AD-4A1B-AB83-1B0E085A0DE9}"/>
    <cellStyle name="60% - Accent5 6 7" xfId="4780" xr:uid="{BCB003DC-8504-4A87-A922-8312F99D1D72}"/>
    <cellStyle name="60% - Accent5 7" xfId="1152" xr:uid="{59B81C8A-32A0-47B6-9F5C-1FB8820EA20C}"/>
    <cellStyle name="60% - Accent5 7 2" xfId="1153" xr:uid="{20FAFB4B-2EF8-4690-A0F6-EFDFAC6F82E4}"/>
    <cellStyle name="60% - Accent5 7 2 2" xfId="4781" xr:uid="{4DEF60B8-8BFF-440B-B125-4118B22421F0}"/>
    <cellStyle name="60% - Accent5 7 3" xfId="4782" xr:uid="{304AF64C-F3B8-4A4C-9E85-FC5F62F7625D}"/>
    <cellStyle name="60% - Accent5 7 4" xfId="4783" xr:uid="{42312426-FB0E-4AE7-9DF4-D119E43ADA1D}"/>
    <cellStyle name="60% - Accent5 7 5" xfId="4784" xr:uid="{A302E3B1-DB15-449B-BB43-2C8E8F31E1FE}"/>
    <cellStyle name="60% - Accent5 7 6" xfId="4785" xr:uid="{66B1B2F8-DD88-436A-B1F4-1A5E9FAFF5C9}"/>
    <cellStyle name="60% - Accent5 7 7" xfId="4786" xr:uid="{8D604DF4-0804-410E-A06C-CF23539E06CA}"/>
    <cellStyle name="60% - Accent5 8" xfId="1154" xr:uid="{DFA97F34-DA5D-4813-ACEC-3957CF333A0C}"/>
    <cellStyle name="60% - Accent5 8 2" xfId="1155" xr:uid="{96869C9F-8055-4423-8D7D-3BE0AA018F82}"/>
    <cellStyle name="60% - Accent5 8 2 2" xfId="4787" xr:uid="{9218A567-CC75-469A-B400-E040BA44DEFB}"/>
    <cellStyle name="60% - Accent5 8 3" xfId="4788" xr:uid="{76FD2997-A8DA-4DF3-9A79-3D5549F364C3}"/>
    <cellStyle name="60% - Accent5 8 4" xfId="4789" xr:uid="{F1D4D07D-AA0A-413E-B2A9-45503AA79FAC}"/>
    <cellStyle name="60% - Accent5 8 5" xfId="4790" xr:uid="{A6AEE6DD-DE47-4AD4-8F5B-6D635D70291D}"/>
    <cellStyle name="60% - Accent5 8 6" xfId="4791" xr:uid="{C8E01F54-2820-4B7A-9FCF-59229B06E6D9}"/>
    <cellStyle name="60% - Accent5 8 7" xfId="4792" xr:uid="{DF3DD3EA-2513-4D24-9F10-FACD681D3E1F}"/>
    <cellStyle name="60% - Accent5 9" xfId="1156" xr:uid="{7D957EAF-01EE-4253-95EB-DF26B8AA4D90}"/>
    <cellStyle name="60% - Accent5 9 2" xfId="1157" xr:uid="{8F1ED32C-944A-4004-BB28-ECF74F748163}"/>
    <cellStyle name="60% - Accent5 9 2 2" xfId="4793" xr:uid="{5DFF1D5A-151C-4650-92D3-56FA2B0EAA6E}"/>
    <cellStyle name="60% - Accent5 9 3" xfId="4794" xr:uid="{47A056AF-A654-46E0-BAAD-DD45039FE6CA}"/>
    <cellStyle name="60% - Accent5 9 4" xfId="4795" xr:uid="{166FBC3A-8A5D-408C-A0FD-449E3C50761D}"/>
    <cellStyle name="60% - Accent5 9 5" xfId="4796" xr:uid="{7D9AE8F0-707D-400F-A78A-C4B7DC268183}"/>
    <cellStyle name="60% - Accent5 9 6" xfId="4797" xr:uid="{9A9CB051-E8FB-43C5-898A-2FB2411709A9}"/>
    <cellStyle name="60% - Accent5 9 7" xfId="4798" xr:uid="{49F12BAA-3BD2-4B78-B897-024C9F5B61CB}"/>
    <cellStyle name="60% - Accent6 10" xfId="1158" xr:uid="{9FAF9554-0724-4F01-9201-01E292151671}"/>
    <cellStyle name="60% - Accent6 10 2" xfId="1159" xr:uid="{041425F4-5BDC-4D0B-A695-9E7E393924DD}"/>
    <cellStyle name="60% - Accent6 10 2 2" xfId="1160" xr:uid="{AF28A480-25BD-4AB9-B22D-54FAA819C18A}"/>
    <cellStyle name="60% - Accent6 10 2 3" xfId="1161" xr:uid="{ABF7CDD6-1197-4A4C-86C9-4DB041BC65E1}"/>
    <cellStyle name="60% - Accent6 10 2 4" xfId="4799" xr:uid="{E8351CF6-0393-448F-8C8A-72C5C8FE3A8D}"/>
    <cellStyle name="60% - Accent6 10 3" xfId="4800" xr:uid="{7E295DAE-B5AB-4255-B7DB-DCCDC1EA5D11}"/>
    <cellStyle name="60% - Accent6 10 4" xfId="4801" xr:uid="{103EBF18-2191-4926-BFFD-4E0AA26C0E9D}"/>
    <cellStyle name="60% - Accent6 10 5" xfId="4802" xr:uid="{31EAD5B4-2F7E-4F3B-B52E-F79FC64A560E}"/>
    <cellStyle name="60% - Accent6 10 6" xfId="4803" xr:uid="{71BC1218-BE25-4B8E-8D2F-DC72FBFE4A15}"/>
    <cellStyle name="60% - Accent6 10 7" xfId="4804" xr:uid="{C2EDDCD9-E902-49C1-9051-347703FA4D87}"/>
    <cellStyle name="60% - Accent6 11" xfId="1162" xr:uid="{32D6D246-E194-465F-A1DD-6C91A083E4AF}"/>
    <cellStyle name="60% - Accent6 11 2" xfId="1163" xr:uid="{CC7A4B4B-C525-4692-BA65-882BD0742866}"/>
    <cellStyle name="60% - Accent6 11 2 2" xfId="1164" xr:uid="{61DB2A77-AB0C-476E-A5F5-ACEDA4938024}"/>
    <cellStyle name="60% - Accent6 11 2 3" xfId="1165" xr:uid="{0FC533D5-EDA8-4F3E-B505-91AB3744F625}"/>
    <cellStyle name="60% - Accent6 11 2 4" xfId="4805" xr:uid="{E6FD34C7-0FDA-4A22-9374-2D87ECD39D88}"/>
    <cellStyle name="60% - Accent6 11 3" xfId="4806" xr:uid="{51092D7A-BE9F-4327-9921-1C8DAE877B28}"/>
    <cellStyle name="60% - Accent6 11 4" xfId="4807" xr:uid="{862D76ED-1715-4DE1-A7F6-00CBEFFDC780}"/>
    <cellStyle name="60% - Accent6 11 5" xfId="4808" xr:uid="{49C3F577-9DF0-4167-BB4B-4F9EF236052B}"/>
    <cellStyle name="60% - Accent6 11 6" xfId="4809" xr:uid="{AED72203-277B-44CD-B288-28C872D51036}"/>
    <cellStyle name="60% - Accent6 11 7" xfId="4810" xr:uid="{134A7D6E-B96E-4E8F-A3B7-DA34CF2C5C76}"/>
    <cellStyle name="60% - Accent6 12" xfId="1166" xr:uid="{52E183EF-9FBC-4291-A583-C2BC3ECAE99C}"/>
    <cellStyle name="60% - Accent6 12 2" xfId="1167" xr:uid="{F9AEE188-3E2B-4686-8157-1816235B1321}"/>
    <cellStyle name="60% - Accent6 12 2 2" xfId="1168" xr:uid="{8C63ED8E-A511-49BB-A91F-26910B3394D1}"/>
    <cellStyle name="60% - Accent6 12 2 3" xfId="1169" xr:uid="{58D0237C-E8AE-4FAA-91E1-4622E98A434F}"/>
    <cellStyle name="60% - Accent6 12 2 4" xfId="4811" xr:uid="{98E9B20C-D918-45A3-9937-27C61D89A154}"/>
    <cellStyle name="60% - Accent6 12 3" xfId="4812" xr:uid="{5CDE7361-F544-40A4-90CB-F65564317009}"/>
    <cellStyle name="60% - Accent6 12 4" xfId="4813" xr:uid="{126037A7-756E-4650-8D50-494A198641B6}"/>
    <cellStyle name="60% - Accent6 12 5" xfId="4814" xr:uid="{520E6CBB-00BF-4FE2-AEAE-552F26509578}"/>
    <cellStyle name="60% - Accent6 12 6" xfId="4815" xr:uid="{94B03E50-5DE6-4FEB-A9E0-33D296ED2414}"/>
    <cellStyle name="60% - Accent6 12 7" xfId="4816" xr:uid="{BA9C754E-A3E8-4CD2-940B-C408AE5BF70D}"/>
    <cellStyle name="60% - Accent6 13" xfId="1170" xr:uid="{DA22ED9B-6D24-4CA3-805C-82FB182CB2F1}"/>
    <cellStyle name="60% - Accent6 13 2" xfId="4817" xr:uid="{FA809603-A7DE-4CE3-A508-BAB91E44DED8}"/>
    <cellStyle name="60% - Accent6 14" xfId="1171" xr:uid="{7D2490D5-E54F-471E-8336-1C122E3CA2B6}"/>
    <cellStyle name="60% - Accent6 14 2" xfId="4818" xr:uid="{47E7756E-DEF5-43FF-825D-90AD464FF564}"/>
    <cellStyle name="60% - Accent6 15" xfId="1172" xr:uid="{54E2158D-D768-439A-99F6-8D7F8BDB7006}"/>
    <cellStyle name="60% - Accent6 15 2" xfId="4819" xr:uid="{EF15B0E9-9C85-4FC3-BD8A-7741BCA215AC}"/>
    <cellStyle name="60% - Accent6 16" xfId="1173" xr:uid="{A4E8E65E-AD01-47CF-ADA8-B6DE7139E24D}"/>
    <cellStyle name="60% - Accent6 16 2" xfId="4820" xr:uid="{3B9D2325-6B1A-4354-9871-76DAA914DB12}"/>
    <cellStyle name="60% - Accent6 17" xfId="1174" xr:uid="{D811F95B-A5BA-498D-B283-872F39941216}"/>
    <cellStyle name="60% - Accent6 17 2" xfId="4821" xr:uid="{7C9647C4-883E-4FE1-AF72-A8CD8AD352B0}"/>
    <cellStyle name="60% - Accent6 18" xfId="1175" xr:uid="{54E3B8BC-8BA2-4093-A801-08764EE4DAF3}"/>
    <cellStyle name="60% - Accent6 18 2" xfId="4822" xr:uid="{86760E1A-0612-476C-86A6-75BB00B7A707}"/>
    <cellStyle name="60% - Accent6 19" xfId="1176" xr:uid="{CFA15404-8D14-4EFF-A6D6-5D5F947FA23F}"/>
    <cellStyle name="60% - Accent6 19 2" xfId="4823" xr:uid="{F295C2E4-39A6-4C40-A76B-625A4C28F406}"/>
    <cellStyle name="60% - Accent6 2" xfId="1177" xr:uid="{40E72A1B-5FFC-48DA-BCE0-FB579EEDECAF}"/>
    <cellStyle name="60% - Accent6 2 2" xfId="1178" xr:uid="{E1657C22-C09A-4485-B676-F56979F3F230}"/>
    <cellStyle name="60% - Accent6 2 2 2" xfId="1179" xr:uid="{DA2A0C8D-4655-4940-8E57-E5EB348B60F1}"/>
    <cellStyle name="60% - Accent6 2 2 2 2" xfId="1180" xr:uid="{0E43ED3B-ECFB-40D1-921D-63ABF405B981}"/>
    <cellStyle name="60% - Accent6 2 2 2 3" xfId="1181" xr:uid="{DD204EFC-A721-4726-90AB-D6825FBFEC4C}"/>
    <cellStyle name="60% - Accent6 2 2 3" xfId="1182" xr:uid="{F7705388-64BB-438B-A483-726A7C3DD7E2}"/>
    <cellStyle name="60% - Accent6 2 2 4" xfId="1183" xr:uid="{3AE71A8D-AA49-4043-9943-9FBB20E2B658}"/>
    <cellStyle name="60% - Accent6 2 2 5" xfId="4824" xr:uid="{B33FC990-AA74-436D-B69A-D0043507A646}"/>
    <cellStyle name="60% - Accent6 2 3" xfId="4825" xr:uid="{FEF88C48-A21D-4D6C-A69F-AD83F4D47C50}"/>
    <cellStyle name="60% - Accent6 2 4" xfId="4826" xr:uid="{2B7CA6D2-2320-4870-A36B-9A8BFAD96523}"/>
    <cellStyle name="60% - Accent6 2 5" xfId="4827" xr:uid="{0DA0DBF5-DDD1-48B2-B6D7-F436D0359751}"/>
    <cellStyle name="60% - Accent6 2 6" xfId="4828" xr:uid="{2BE3FDD9-26A9-440D-97C1-098BF0AF20E2}"/>
    <cellStyle name="60% - Accent6 2 7" xfId="4829" xr:uid="{C181B542-74E8-49E5-A830-C13B3CB6B804}"/>
    <cellStyle name="60% - Accent6 20" xfId="1184" xr:uid="{BFDC4628-CD94-40A4-B286-3EAA61416F37}"/>
    <cellStyle name="60% - Accent6 20 2" xfId="4830" xr:uid="{0E862E8B-99D0-47EB-975B-A5CFCC18B724}"/>
    <cellStyle name="60% - Accent6 21" xfId="1185" xr:uid="{20FB0DEB-5F2C-4211-9A34-EB6B4B2008D3}"/>
    <cellStyle name="60% - Accent6 21 2" xfId="4831" xr:uid="{6A4B8E24-118E-4C4A-8E20-3541DDD7C072}"/>
    <cellStyle name="60% - Accent6 22" xfId="1186" xr:uid="{58AF9088-8AB2-46FB-80DC-860DC4549647}"/>
    <cellStyle name="60% - Accent6 23" xfId="1187" xr:uid="{7D0C873C-E287-4783-84BE-F0DC6BEA38C2}"/>
    <cellStyle name="60% - Accent6 24" xfId="1188" xr:uid="{23B22985-4E16-412D-B227-FF2BC5DE9042}"/>
    <cellStyle name="60% - Accent6 25" xfId="1189" xr:uid="{EA31267E-0B8C-4784-A9C3-16D82DF426FB}"/>
    <cellStyle name="60% - Accent6 26" xfId="1190" xr:uid="{DA06999C-2046-4F0A-9813-962CD24225FA}"/>
    <cellStyle name="60% - Accent6 3" xfId="1191" xr:uid="{E516DFB2-4F81-44FA-BFE9-F9D5C9D10954}"/>
    <cellStyle name="60% - Accent6 3 2" xfId="1192" xr:uid="{EB8283C7-C34C-47E0-9B74-DC4638BD28D9}"/>
    <cellStyle name="60% - Accent6 3 2 2" xfId="1193" xr:uid="{2E25FA0A-60B1-4462-8FA3-0895341DF147}"/>
    <cellStyle name="60% - Accent6 3 2 3" xfId="1194" xr:uid="{F84BF0DF-C215-473E-A2E7-A6F5D6BBEF20}"/>
    <cellStyle name="60% - Accent6 3 2 4" xfId="4832" xr:uid="{3BE252A7-0400-47EB-AB9B-F38E4C184932}"/>
    <cellStyle name="60% - Accent6 3 3" xfId="4833" xr:uid="{30B222A9-9C31-41B5-89EB-C3BFA45E5DB5}"/>
    <cellStyle name="60% - Accent6 3 4" xfId="4834" xr:uid="{64D15845-EDD4-45D2-B58C-8211196C06A4}"/>
    <cellStyle name="60% - Accent6 3 5" xfId="4835" xr:uid="{E8C01018-F3C9-466C-908F-E81EB6371A80}"/>
    <cellStyle name="60% - Accent6 3 6" xfId="4836" xr:uid="{664C748F-6BC9-4CFD-B22B-984EE47A814C}"/>
    <cellStyle name="60% - Accent6 3 7" xfId="4837" xr:uid="{7AD38B3A-E343-4829-8D6A-FC5F0766D5A8}"/>
    <cellStyle name="60% - Accent6 3 8" xfId="3432" xr:uid="{0FC06266-3890-457A-B971-CA93C5E63F50}"/>
    <cellStyle name="60% - Accent6 4" xfId="1195" xr:uid="{D8C21C07-5EA6-4378-9B43-B8199F92D78E}"/>
    <cellStyle name="60% - Accent6 4 2" xfId="1196" xr:uid="{4A663061-299B-4741-B487-8AD5A26C5D7A}"/>
    <cellStyle name="60% - Accent6 4 2 2" xfId="1197" xr:uid="{22B6D744-9555-4C89-990F-FF695D117989}"/>
    <cellStyle name="60% - Accent6 4 2 3" xfId="1198" xr:uid="{40196165-5FC8-44C7-B27D-BE7E73168A2E}"/>
    <cellStyle name="60% - Accent6 4 2 4" xfId="4838" xr:uid="{AFD93BBF-E1A3-4F2C-86E0-C1307F0C564A}"/>
    <cellStyle name="60% - Accent6 4 3" xfId="4839" xr:uid="{873832E7-B50A-43EC-BD14-544E916A0E8B}"/>
    <cellStyle name="60% - Accent6 4 4" xfId="4840" xr:uid="{2A6ADC10-26AE-4E11-909D-4F2C98400928}"/>
    <cellStyle name="60% - Accent6 4 5" xfId="4841" xr:uid="{B60AC771-02AE-4019-97F1-16D90FFD765A}"/>
    <cellStyle name="60% - Accent6 4 6" xfId="4842" xr:uid="{8F3E4C45-B4FC-42C3-A593-F113C9724B54}"/>
    <cellStyle name="60% - Accent6 4 7" xfId="4843" xr:uid="{95963587-26BB-45AA-89DF-CDA031115B01}"/>
    <cellStyle name="60% - Accent6 5" xfId="1199" xr:uid="{73D7E3A4-407A-44AE-94BE-2FA224632D0F}"/>
    <cellStyle name="60% - Accent6 5 2" xfId="1200" xr:uid="{F5D06B13-A7DE-4653-901A-FC8C1CBEBD06}"/>
    <cellStyle name="60% - Accent6 5 2 2" xfId="1201" xr:uid="{96BFE3FE-6D2F-4AB2-A95D-BA629736FA1D}"/>
    <cellStyle name="60% - Accent6 5 2 3" xfId="1202" xr:uid="{7E8F5720-425E-49C2-9CE6-88C11EA119E9}"/>
    <cellStyle name="60% - Accent6 5 2 4" xfId="4844" xr:uid="{C8AC3F96-8361-4BEA-9954-B9D4086E9BAB}"/>
    <cellStyle name="60% - Accent6 5 3" xfId="4845" xr:uid="{467AF191-F370-4D8E-8013-139752069BF9}"/>
    <cellStyle name="60% - Accent6 5 4" xfId="4846" xr:uid="{9FFA3162-5C38-4681-AF45-CF9999E73C11}"/>
    <cellStyle name="60% - Accent6 5 5" xfId="4847" xr:uid="{5D1CB970-6E84-492E-AAEC-77D7AFC1FA5D}"/>
    <cellStyle name="60% - Accent6 5 6" xfId="4848" xr:uid="{DD885B83-0DDD-401D-BF91-CDAA2D036C47}"/>
    <cellStyle name="60% - Accent6 5 7" xfId="4849" xr:uid="{5506CE96-C756-41E7-B915-9EFC94C4345D}"/>
    <cellStyle name="60% - Accent6 6" xfId="1203" xr:uid="{C5C80AFA-E64D-4BA4-8066-87D23BBA54C6}"/>
    <cellStyle name="60% - Accent6 6 2" xfId="1204" xr:uid="{175C7828-3253-48C6-8F33-9AD5ED92E903}"/>
    <cellStyle name="60% - Accent6 6 2 2" xfId="1205" xr:uid="{49AFD4DD-6A21-46BC-973B-CCE9A0B4B0B2}"/>
    <cellStyle name="60% - Accent6 6 2 3" xfId="1206" xr:uid="{41C4C192-F2FF-43F0-AC20-D72D315080D0}"/>
    <cellStyle name="60% - Accent6 6 2 4" xfId="4850" xr:uid="{B94FB617-3256-42E7-96D5-F6B4AAAD9AEA}"/>
    <cellStyle name="60% - Accent6 6 3" xfId="4851" xr:uid="{57DA4901-7B3F-4ED2-8B05-935EE5795F58}"/>
    <cellStyle name="60% - Accent6 6 4" xfId="4852" xr:uid="{E741AD14-3D98-4BF4-95A9-A4FF18BE9C16}"/>
    <cellStyle name="60% - Accent6 6 5" xfId="4853" xr:uid="{3D048B35-31D6-4358-A7AA-5E3AA7FDF9AF}"/>
    <cellStyle name="60% - Accent6 6 6" xfId="4854" xr:uid="{DE50469B-E7A2-4715-9CB5-F10FC81EAEE8}"/>
    <cellStyle name="60% - Accent6 6 7" xfId="4855" xr:uid="{CAFDB797-CE9A-4C96-B20E-ABF462EC5105}"/>
    <cellStyle name="60% - Accent6 7" xfId="1207" xr:uid="{521E5A4A-2AE6-470A-AAE2-CBAF3D5562DC}"/>
    <cellStyle name="60% - Accent6 7 2" xfId="1208" xr:uid="{5933D909-A9C9-465C-A90B-DFD3AC78F739}"/>
    <cellStyle name="60% - Accent6 7 2 2" xfId="1209" xr:uid="{A2DEB495-09CB-4A88-9B6C-13C92D37CA39}"/>
    <cellStyle name="60% - Accent6 7 2 3" xfId="1210" xr:uid="{156D4A52-15B7-473D-A038-C0BBA69B5998}"/>
    <cellStyle name="60% - Accent6 7 2 4" xfId="4856" xr:uid="{F53B390A-4DC6-4C34-ABAA-4C125307CB92}"/>
    <cellStyle name="60% - Accent6 7 3" xfId="4857" xr:uid="{7178F7E8-2FDE-4609-A31A-3BDF7CC4E151}"/>
    <cellStyle name="60% - Accent6 7 4" xfId="4858" xr:uid="{E6966E65-DD73-4314-A812-4F7D30EC4E5E}"/>
    <cellStyle name="60% - Accent6 7 5" xfId="4859" xr:uid="{C6D2BDB7-89CB-4A34-A8CD-0595C0A9923F}"/>
    <cellStyle name="60% - Accent6 7 6" xfId="4860" xr:uid="{855F30FF-6F02-4423-860C-62B9C288FE5D}"/>
    <cellStyle name="60% - Accent6 7 7" xfId="4861" xr:uid="{967AE64F-EDC9-41D9-85C8-159178B4A8BE}"/>
    <cellStyle name="60% - Accent6 8" xfId="1211" xr:uid="{B090331F-3395-4198-87D3-A80A6241AE6D}"/>
    <cellStyle name="60% - Accent6 8 2" xfId="1212" xr:uid="{C9BD8847-D7CA-46F2-9041-34A277694048}"/>
    <cellStyle name="60% - Accent6 8 2 2" xfId="1213" xr:uid="{B372BE1D-AF53-4AE9-9160-ADB209818A32}"/>
    <cellStyle name="60% - Accent6 8 2 3" xfId="1214" xr:uid="{6F793029-87A5-4081-A522-A554CF555BD0}"/>
    <cellStyle name="60% - Accent6 8 2 4" xfId="4862" xr:uid="{86C35ADB-F950-4C04-BBD1-F4CCCD832D33}"/>
    <cellStyle name="60% - Accent6 8 3" xfId="4863" xr:uid="{E3A85CF9-E2D0-4299-B7A0-7CBCE9743409}"/>
    <cellStyle name="60% - Accent6 8 4" xfId="4864" xr:uid="{D23D829D-CC17-421B-AC02-B7892380B23D}"/>
    <cellStyle name="60% - Accent6 8 5" xfId="4865" xr:uid="{E6CA6059-F03D-4741-B675-36C4EF5D6D3B}"/>
    <cellStyle name="60% - Accent6 8 6" xfId="4866" xr:uid="{DB815198-C92F-4D9E-A4F1-00CD69881B0A}"/>
    <cellStyle name="60% - Accent6 8 7" xfId="4867" xr:uid="{C5393B66-1050-4DBE-824D-FD8AFA6457FE}"/>
    <cellStyle name="60% - Accent6 9" xfId="1215" xr:uid="{0CA07C48-7487-4673-A281-5A229C810DD6}"/>
    <cellStyle name="60% - Accent6 9 2" xfId="1216" xr:uid="{9A0AFCB5-121B-4554-8241-88C63CA3D2CF}"/>
    <cellStyle name="60% - Accent6 9 2 2" xfId="1217" xr:uid="{9B5D8A2A-03EA-4BA1-A453-EFDB67D9E381}"/>
    <cellStyle name="60% - Accent6 9 2 3" xfId="1218" xr:uid="{853F6588-7D8F-4670-918B-D5119C6E5ED7}"/>
    <cellStyle name="60% - Accent6 9 2 4" xfId="4868" xr:uid="{777FCB8F-8BA2-42AF-A25A-85D1F05D8498}"/>
    <cellStyle name="60% - Accent6 9 3" xfId="4869" xr:uid="{9E81CBDD-CF21-46FC-BAC1-C112FC5650F5}"/>
    <cellStyle name="60% - Accent6 9 4" xfId="4870" xr:uid="{42792E19-E8F7-40E2-9578-7BBE29B9C9A9}"/>
    <cellStyle name="60% - Accent6 9 5" xfId="4871" xr:uid="{F1FA5AE1-12E0-40D5-AE75-5E64220624D8}"/>
    <cellStyle name="60% - Accent6 9 6" xfId="4872" xr:uid="{BCCD9CF3-715A-49DF-A253-84A98FB46F31}"/>
    <cellStyle name="60% - Accent6 9 7" xfId="4873" xr:uid="{472D5247-7487-41C5-AEDE-CEC59848672C}"/>
    <cellStyle name="60% — akcent 1 2" xfId="3281" xr:uid="{759F38AE-7461-4F5D-B393-95641CDD2A04}"/>
    <cellStyle name="60% — akcent 2 2" xfId="3285" xr:uid="{F711FFE9-AF22-43D5-838B-6D860B5DB1B1}"/>
    <cellStyle name="60% — akcent 3 2" xfId="3289" xr:uid="{E78C8D15-BA40-4F06-9C61-019A7EA5B244}"/>
    <cellStyle name="60% — akcent 4 2" xfId="3293" xr:uid="{F8409105-73CF-417B-8901-1861596F5E86}"/>
    <cellStyle name="60% — akcent 5 2" xfId="3297" xr:uid="{D55C988D-67B3-4EA1-BD52-98C7C1E53849}"/>
    <cellStyle name="60% — akcent 6 2" xfId="3301" xr:uid="{8D6BC12F-49EE-4C21-B7D1-C448811A803F}"/>
    <cellStyle name="752131" xfId="4874" xr:uid="{246B9890-640B-4DBB-B183-0773BC3EEF57}"/>
    <cellStyle name="A Table" xfId="4875" xr:uid="{56AFAD54-3889-4E16-ADE9-9DE8888F68AA}"/>
    <cellStyle name="A_Block Space" xfId="4876" xr:uid="{D3822A52-E949-48DC-A0B0-5CBF6982E685}"/>
    <cellStyle name="A_BlueLine" xfId="4877" xr:uid="{6FCB96B5-0CEC-45A1-80D2-A3932DB5BC41}"/>
    <cellStyle name="A_Do not Change" xfId="4878" xr:uid="{D817ADD2-661D-4D8D-99D1-73B5352BC795}"/>
    <cellStyle name="A_Estimate" xfId="4879" xr:uid="{57EEE1DB-2CAF-407D-8EAF-E72A39C62695}"/>
    <cellStyle name="A_Estimate 2" xfId="4880" xr:uid="{6BA70276-5599-4651-9CF4-77B373A1D701}"/>
    <cellStyle name="A_Memo" xfId="4881" xr:uid="{1CE79F2F-38EA-45FD-A9E7-E995159F5072}"/>
    <cellStyle name="A_Normal" xfId="4882" xr:uid="{CB1541C3-EB0D-4531-A5C4-A18AC419A12D}"/>
    <cellStyle name="A_Normal 2" xfId="4883" xr:uid="{2BF76E7F-CAB8-4325-A266-42A08B9D989C}"/>
    <cellStyle name="A_Normal 3" xfId="4884" xr:uid="{BEB3A689-B4AB-4C1B-A08C-82BD29AA2FD2}"/>
    <cellStyle name="A_Normal 4" xfId="4885" xr:uid="{D7936BFD-000C-4E07-9D1A-89F1A1EB4789}"/>
    <cellStyle name="A_Normal 5" xfId="4886" xr:uid="{D57FC20B-6A97-4D3E-9FC6-48BFE56FC78D}"/>
    <cellStyle name="A_Normal 6" xfId="4887" xr:uid="{8C9FABE3-1A64-49A6-8392-261B62620D39}"/>
    <cellStyle name="A_Normal Forecast" xfId="4888" xr:uid="{75638CBA-FC87-4738-931B-C34A64E6F15E}"/>
    <cellStyle name="A_Normal Historical" xfId="4889" xr:uid="{9F0F500A-06F9-4F4D-927B-1ACCDFA07269}"/>
    <cellStyle name="A_Rate_Data" xfId="4890" xr:uid="{F75980EA-0EEF-4B6A-8EDF-6C8B6AA70164}"/>
    <cellStyle name="A_Rate_Data Historical" xfId="4891" xr:uid="{E8EA0049-7455-4DDC-A73F-D132C3E86BE6}"/>
    <cellStyle name="A_Rate_Title" xfId="4892" xr:uid="{F9D5DB85-85D9-485F-A1F6-5C1B88EE4769}"/>
    <cellStyle name="A_Simple Title" xfId="4893" xr:uid="{3DC5D6E5-E684-43AC-AE58-A84D6F449FEB}"/>
    <cellStyle name="A_Sum" xfId="4894" xr:uid="{E83F6A0F-17A8-4296-9518-1EF38C5786CE}"/>
    <cellStyle name="A_SUM_Row Major" xfId="4895" xr:uid="{03505A56-C824-4A46-AC9F-B95E8DF2D967}"/>
    <cellStyle name="A_SUM_Row Minor" xfId="4896" xr:uid="{EB4F03A6-AB9B-4100-8515-26AA592371F9}"/>
    <cellStyle name="A_Title" xfId="4897" xr:uid="{086E9A02-3CB4-42D1-9ED0-7833C69FED2C}"/>
    <cellStyle name="A_YearHeadings" xfId="4898" xr:uid="{CFA19B0E-A56A-4EDD-8008-EF1BE9D593BD}"/>
    <cellStyle name="Accent1 - 20%" xfId="1219" xr:uid="{D9BA540B-F875-46C5-A293-75DE8946A897}"/>
    <cellStyle name="Accent1 - 20% 2" xfId="1220" xr:uid="{90F0463E-38DE-46A1-9115-28ACCE72EFAA}"/>
    <cellStyle name="Accent1 - 40%" xfId="1221" xr:uid="{7F33DB4A-B79D-4BAA-8F5E-1AFD46329A6F}"/>
    <cellStyle name="Accent1 - 40% 2" xfId="1222" xr:uid="{3013CEB3-CD90-46AB-902C-9C9325763D9D}"/>
    <cellStyle name="Accent1 - 60%" xfId="1223" xr:uid="{BFA99FD5-C4A8-4052-9A71-C7CC9A771631}"/>
    <cellStyle name="Accent1 10" xfId="1224" xr:uid="{818E5067-E175-411D-A281-623A42B534CF}"/>
    <cellStyle name="Accent1 10 2" xfId="1225" xr:uid="{39C959FD-E53F-4460-BDE8-D4C4B0CDBEEF}"/>
    <cellStyle name="Accent1 10 2 2" xfId="1226" xr:uid="{5DD56433-AC06-4EAF-98D5-8AC8ECCC94E8}"/>
    <cellStyle name="Accent1 10 2 3" xfId="1227" xr:uid="{7B14F8B5-4FB9-4653-AC3B-0F09BEBC0BCD}"/>
    <cellStyle name="Accent1 10 2 4" xfId="4899" xr:uid="{42B72549-4188-4FCC-B4C5-26C76F53E240}"/>
    <cellStyle name="Accent1 10 3" xfId="4900" xr:uid="{5B63B7EE-8833-4E04-93DF-B418594352CD}"/>
    <cellStyle name="Accent1 10 4" xfId="4901" xr:uid="{3E813F8D-2323-44ED-9AF0-1E55DD8C6DA7}"/>
    <cellStyle name="Accent1 10 5" xfId="4902" xr:uid="{14D8FDD6-C411-4F9A-9A16-B81D8F7A96E2}"/>
    <cellStyle name="Accent1 10 6" xfId="4903" xr:uid="{E0F5166B-FF8C-4274-B1A0-14E975E8C1FC}"/>
    <cellStyle name="Accent1 10 7" xfId="4904" xr:uid="{013E88A6-D8E0-488B-895E-99A585744B2A}"/>
    <cellStyle name="Accent1 11" xfId="1228" xr:uid="{D8EC4B63-C88F-4053-877E-2C78451BAA87}"/>
    <cellStyle name="Accent1 11 2" xfId="1229" xr:uid="{C9DEF144-C8D0-44B7-BA34-310656B62667}"/>
    <cellStyle name="Accent1 11 2 2" xfId="1230" xr:uid="{F4F15999-646B-4960-B922-BF21C432AD34}"/>
    <cellStyle name="Accent1 11 2 3" xfId="1231" xr:uid="{1D32D7D7-15DE-4A6C-BEE8-0871786EBF1F}"/>
    <cellStyle name="Accent1 11 2 4" xfId="4905" xr:uid="{E0614251-DA0C-4D8F-9563-974218F7158E}"/>
    <cellStyle name="Accent1 11 3" xfId="4906" xr:uid="{6D92A42C-1DA0-4F3F-842B-C586C7DA0057}"/>
    <cellStyle name="Accent1 11 4" xfId="4907" xr:uid="{AFDBD6A7-8CC6-4486-808F-BE6F86BDC640}"/>
    <cellStyle name="Accent1 11 5" xfId="4908" xr:uid="{113EFCF9-D755-4526-BD1A-34722326A957}"/>
    <cellStyle name="Accent1 11 6" xfId="4909" xr:uid="{DDD33374-6A97-41ED-A812-8D9EA401D455}"/>
    <cellStyle name="Accent1 11 7" xfId="4910" xr:uid="{F81232C8-58E4-419B-BE1E-07A61533634F}"/>
    <cellStyle name="Accent1 12" xfId="1232" xr:uid="{5A23B879-5712-44E5-9F50-D7C706612A43}"/>
    <cellStyle name="Accent1 12 2" xfId="1233" xr:uid="{4D8A0996-30E4-45ED-8325-3F47B47A30A7}"/>
    <cellStyle name="Accent1 12 2 2" xfId="1234" xr:uid="{503EBD56-1CCB-4DAF-90A6-A651949936C5}"/>
    <cellStyle name="Accent1 12 2 3" xfId="1235" xr:uid="{CA9922D2-C8E2-4E2B-BB50-6C6FA3F87080}"/>
    <cellStyle name="Accent1 12 2 4" xfId="4911" xr:uid="{5764AAFA-0823-4B94-AB39-B3CD87BACD62}"/>
    <cellStyle name="Accent1 12 3" xfId="4912" xr:uid="{21EBC233-1AA3-4DCF-A934-354F2215F1FA}"/>
    <cellStyle name="Accent1 12 4" xfId="4913" xr:uid="{493731D5-272C-41FB-BD25-13643C6ACA66}"/>
    <cellStyle name="Accent1 12 5" xfId="4914" xr:uid="{DCED8598-06A7-4B67-A724-B052C4167EB8}"/>
    <cellStyle name="Accent1 12 6" xfId="4915" xr:uid="{4B6FED53-E5CC-41BA-9194-86B8E0E7F940}"/>
    <cellStyle name="Accent1 12 7" xfId="4916" xr:uid="{F537C863-6C86-408F-9400-537E3CB3305B}"/>
    <cellStyle name="Accent1 13" xfId="1236" xr:uid="{6A2BAAB8-9A4B-4780-9802-ECD5BE54509B}"/>
    <cellStyle name="Accent1 13 2" xfId="4917" xr:uid="{F2113567-FA83-48D6-8033-4E40F6BA9CAD}"/>
    <cellStyle name="Accent1 14" xfId="1237" xr:uid="{F0FDA2EC-6B59-4FF3-83CE-8B1E5B978A22}"/>
    <cellStyle name="Accent1 14 2" xfId="4918" xr:uid="{73776B4E-9567-4888-8476-6B7B6DE3C93F}"/>
    <cellStyle name="Accent1 15" xfId="1238" xr:uid="{56341598-EE09-4C5F-A4C9-92B24E93EA2D}"/>
    <cellStyle name="Accent1 15 2" xfId="4919" xr:uid="{FA49E5F4-7777-4617-84E6-DC741AA65F49}"/>
    <cellStyle name="Accent1 16" xfId="1239" xr:uid="{B36F70FA-046F-485D-8A00-229E3E2418E8}"/>
    <cellStyle name="Accent1 16 2" xfId="4920" xr:uid="{7F646B2D-BEB3-49C4-A1B8-08B640AF4F6B}"/>
    <cellStyle name="Accent1 17" xfId="1240" xr:uid="{CF44BB09-8A1C-4201-A37E-1993C8C6EDD1}"/>
    <cellStyle name="Accent1 17 2" xfId="4921" xr:uid="{BC49CBE3-3FA2-4BEB-99F9-B5556F686EEE}"/>
    <cellStyle name="Accent1 18" xfId="1241" xr:uid="{639B99C1-4595-4C95-9B57-4F8F99A2AF03}"/>
    <cellStyle name="Accent1 18 2" xfId="4922" xr:uid="{7CEDBEC5-0C42-4BFA-9578-7DA044F497E5}"/>
    <cellStyle name="Accent1 19" xfId="1242" xr:uid="{9692A2E5-B6C0-4A5A-980E-6F4B43EB156E}"/>
    <cellStyle name="Accent1 19 2" xfId="4923" xr:uid="{827359DD-6E7D-438C-BEE1-0BF56972F5FB}"/>
    <cellStyle name="Accent1 2" xfId="1243" xr:uid="{1CDE984D-AB57-401C-BB93-2D95F95A64FF}"/>
    <cellStyle name="Accent1 2 2" xfId="1244" xr:uid="{1C5ADF5C-CD4E-4B67-96C7-D295A3C78900}"/>
    <cellStyle name="Accent1 2 2 2" xfId="1245" xr:uid="{95EFEBAD-B947-490C-8B43-F0E45DF6633D}"/>
    <cellStyle name="Accent1 2 2 2 2" xfId="1246" xr:uid="{8757AEF1-63A3-4DDD-9E06-CFB7D2054915}"/>
    <cellStyle name="Accent1 2 2 2 3" xfId="1247" xr:uid="{DD2B838F-BBC8-4846-8272-D1778C93DC6C}"/>
    <cellStyle name="Accent1 2 2 3" xfId="1248" xr:uid="{285AC334-2AE7-40BF-BD67-AF02E11B5173}"/>
    <cellStyle name="Accent1 2 2 4" xfId="1249" xr:uid="{EC598DFA-A781-4A01-A34B-D50685DA485E}"/>
    <cellStyle name="Accent1 2 2 5" xfId="4924" xr:uid="{EDFE27CF-8AC1-422F-949B-B08B373DF403}"/>
    <cellStyle name="Accent1 2 3" xfId="4925" xr:uid="{1DD5E47A-621F-44D9-8585-FF0A7D3EB735}"/>
    <cellStyle name="Accent1 2 4" xfId="4926" xr:uid="{E8ACB06D-2DD8-47BB-8A73-AC71DA741D0B}"/>
    <cellStyle name="Accent1 2 5" xfId="4927" xr:uid="{D6A0EF3E-267C-4B43-990F-1ECFB9330980}"/>
    <cellStyle name="Accent1 2 6" xfId="4928" xr:uid="{054E4341-7274-4AFD-A6B9-3CE4AD2DEA1B}"/>
    <cellStyle name="Accent1 2 7" xfId="4929" xr:uid="{8EDAEA55-EDE7-438B-AC77-39DEC0D05FCD}"/>
    <cellStyle name="Accent1 20" xfId="1250" xr:uid="{1E1585C2-4DF2-43A5-A79D-D52D9ABBDEB5}"/>
    <cellStyle name="Accent1 20 2" xfId="4930" xr:uid="{C78EFCF4-8A66-4409-ABCF-49F342D9A9DC}"/>
    <cellStyle name="Accent1 21" xfId="1251" xr:uid="{8AFEC2A9-3359-4E4B-A007-B44A945A7C4A}"/>
    <cellStyle name="Accent1 21 2" xfId="4931" xr:uid="{48BDA5E4-3C08-4AFE-9BAF-844FFBEF8D53}"/>
    <cellStyle name="Accent1 22" xfId="1252" xr:uid="{7CE739BF-FEB7-4205-A1C1-1311F3E5497D}"/>
    <cellStyle name="Accent1 23" xfId="1253" xr:uid="{348E9FF2-1646-499B-99C9-9BC4946E20AF}"/>
    <cellStyle name="Accent1 24" xfId="1254" xr:uid="{08AE8795-2C0E-4B57-93EA-2C8F4C0D4D04}"/>
    <cellStyle name="Accent1 25" xfId="1255" xr:uid="{A9AFED16-8209-4FCA-A841-C763D52480C7}"/>
    <cellStyle name="Accent1 26" xfId="1256" xr:uid="{25E0BD6A-225B-4C17-965C-C6942093D14A}"/>
    <cellStyle name="Accent1 27" xfId="1257" xr:uid="{66629802-5DE4-48C5-99E5-0C432B4648CC}"/>
    <cellStyle name="Accent1 28" xfId="1258" xr:uid="{FD280A58-15B1-422C-8395-E3B03ADADAD7}"/>
    <cellStyle name="Accent1 29" xfId="1259" xr:uid="{4E2871F3-4552-49E9-9933-BDA0F094F9B2}"/>
    <cellStyle name="Accent1 3" xfId="1260" xr:uid="{AC8E73C2-6060-4DA7-A8AD-497F6C1D50FF}"/>
    <cellStyle name="Accent1 3 2" xfId="1261" xr:uid="{5C4D9043-1760-48BC-8B56-0CA85901DB40}"/>
    <cellStyle name="Accent1 3 2 2" xfId="1262" xr:uid="{F67CDD7A-479B-45D9-AE92-AF8D8AFFC80A}"/>
    <cellStyle name="Accent1 3 2 3" xfId="1263" xr:uid="{FC533F22-934D-4831-9DE7-0A3DA09FD629}"/>
    <cellStyle name="Accent1 3 2 4" xfId="4932" xr:uid="{30807697-2668-4C3C-8FB8-BA7CEEF55D56}"/>
    <cellStyle name="Accent1 3 3" xfId="4933" xr:uid="{97E57734-423F-431D-8A0F-456D856D2A44}"/>
    <cellStyle name="Accent1 3 4" xfId="4934" xr:uid="{F52A633A-4163-4470-8713-221F67958B15}"/>
    <cellStyle name="Accent1 3 5" xfId="4935" xr:uid="{CBE332E8-3D71-4DFD-BF93-378E783196F8}"/>
    <cellStyle name="Accent1 3 6" xfId="4936" xr:uid="{6E342447-1656-460E-8120-7A8D1B2B68E5}"/>
    <cellStyle name="Accent1 3 7" xfId="4937" xr:uid="{0C8C5F8D-7D88-41EF-9654-FBDE52E4F028}"/>
    <cellStyle name="Accent1 3 8" xfId="3393" xr:uid="{9F4D5408-8586-48E4-8D7D-19B9F2380A8A}"/>
    <cellStyle name="Accent1 30" xfId="1264" xr:uid="{B24D078A-3376-450D-BB08-5290D1BED98A}"/>
    <cellStyle name="Accent1 31" xfId="1265" xr:uid="{A95CC573-9C7E-45A5-83B3-0EA8522D69ED}"/>
    <cellStyle name="Accent1 32" xfId="1266" xr:uid="{A9AF8FA3-0A3E-4AB8-9A88-D5652A0B5799}"/>
    <cellStyle name="Accent1 33" xfId="1267" xr:uid="{04A309C7-A082-45E6-A705-288E59C58407}"/>
    <cellStyle name="Accent1 34" xfId="1268" xr:uid="{A41628A5-4AE6-4DBA-9346-5A7519319724}"/>
    <cellStyle name="Accent1 35" xfId="1269" xr:uid="{42E05659-0ACE-41C2-A9C5-4384B500989A}"/>
    <cellStyle name="Accent1 36" xfId="1270" xr:uid="{7EEBCF8C-3FF7-4F71-9F5A-CABF6CA6F7FE}"/>
    <cellStyle name="Accent1 37" xfId="1271" xr:uid="{A98DE0EA-B510-4F6F-B422-A757A5F481D2}"/>
    <cellStyle name="Accent1 38" xfId="1272" xr:uid="{0403BC2B-3879-4538-8255-DF6114E79BC8}"/>
    <cellStyle name="Accent1 4" xfId="1273" xr:uid="{3D81F9BE-EAC0-4CF3-BA6E-7E7CE05EF9E5}"/>
    <cellStyle name="Accent1 4 2" xfId="1274" xr:uid="{318660E2-B71E-4E0F-82AE-D2F62B0A8789}"/>
    <cellStyle name="Accent1 4 2 2" xfId="1275" xr:uid="{B66BCE53-4568-408D-B3A6-31E88647BB58}"/>
    <cellStyle name="Accent1 4 2 3" xfId="1276" xr:uid="{51362B76-B905-4E41-8459-7C1E3413139E}"/>
    <cellStyle name="Accent1 4 2 4" xfId="4939" xr:uid="{AFB6EE9A-3ACA-42A8-97BE-3F0E167017B1}"/>
    <cellStyle name="Accent1 4 3" xfId="4940" xr:uid="{AAD23E3A-9C7C-475E-A3A8-FF89315250DC}"/>
    <cellStyle name="Accent1 4 4" xfId="4941" xr:uid="{2E47C0A0-A4BB-46DA-BDE2-8A31047E2C40}"/>
    <cellStyle name="Accent1 4 5" xfId="4942" xr:uid="{995A5B73-D7A4-4F2F-BB42-9F7C94C0031F}"/>
    <cellStyle name="Accent1 4 6" xfId="4943" xr:uid="{F74FC8DD-6C34-4A7E-AE65-DE44E204A5B5}"/>
    <cellStyle name="Accent1 4 7" xfId="4944" xr:uid="{0624DBE1-B52E-44D1-A8E5-8848C65B2580}"/>
    <cellStyle name="Accent1 4 8" xfId="4938" xr:uid="{D3BE9755-912B-4ECE-AEAA-E506C46DAB2A}"/>
    <cellStyle name="Accent1 5" xfId="1277" xr:uid="{54CEEC74-5BD1-4F07-AB5B-1BBBD032E392}"/>
    <cellStyle name="Accent1 5 2" xfId="1278" xr:uid="{2382C81C-1113-48C2-AEF4-89AB259D7BEB}"/>
    <cellStyle name="Accent1 5 2 2" xfId="1279" xr:uid="{E11C480F-8176-4D9C-A424-4B133CD3CB26}"/>
    <cellStyle name="Accent1 5 2 3" xfId="1280" xr:uid="{B272392B-74C1-4F71-8DF7-5252AE006C79}"/>
    <cellStyle name="Accent1 5 2 4" xfId="4946" xr:uid="{0494EFE0-79AE-4A41-8240-3C66B6329820}"/>
    <cellStyle name="Accent1 5 3" xfId="4947" xr:uid="{6955151D-3A39-47AD-A559-83B6F8C940D6}"/>
    <cellStyle name="Accent1 5 4" xfId="4948" xr:uid="{F28BF9C2-C45F-403E-89EF-7FFECFE2D924}"/>
    <cellStyle name="Accent1 5 5" xfId="4949" xr:uid="{7356A38F-78CA-46DC-A78F-DAAD68E682CB}"/>
    <cellStyle name="Accent1 5 6" xfId="4950" xr:uid="{EE7716EF-631D-4796-83AF-E045937C6155}"/>
    <cellStyle name="Accent1 5 7" xfId="4951" xr:uid="{719005F1-3B31-457A-B92B-27AF8C9C9984}"/>
    <cellStyle name="Accent1 5 8" xfId="4945" xr:uid="{DE9B4646-1DC9-414B-9979-07F3317C2042}"/>
    <cellStyle name="Accent1 6" xfId="1281" xr:uid="{1368A059-7BC9-43CF-B33D-F74DDA524381}"/>
    <cellStyle name="Accent1 6 2" xfId="1282" xr:uid="{00435308-B527-422E-9A2C-C1BC65C7E2A5}"/>
    <cellStyle name="Accent1 6 2 2" xfId="1283" xr:uid="{E10D790E-7C9D-47DB-8947-554A7E519459}"/>
    <cellStyle name="Accent1 6 2 3" xfId="1284" xr:uid="{585F25DB-6714-49F7-95C3-F7461DCB1963}"/>
    <cellStyle name="Accent1 6 2 4" xfId="4952" xr:uid="{45727C74-2A43-43E5-B9F1-C18E8B0CA01D}"/>
    <cellStyle name="Accent1 6 3" xfId="4953" xr:uid="{5F2AB3E6-E078-4E3D-A822-EE2DFB1D80EC}"/>
    <cellStyle name="Accent1 6 4" xfId="4954" xr:uid="{FB1070F3-1D93-4708-89D0-1856933425B7}"/>
    <cellStyle name="Accent1 6 5" xfId="4955" xr:uid="{8B6D8258-1F43-4874-AED3-2B3FC54BDFA5}"/>
    <cellStyle name="Accent1 6 6" xfId="4956" xr:uid="{0EF090FD-8CAE-4F34-ADF1-560FBF4F2A33}"/>
    <cellStyle name="Accent1 6 7" xfId="4957" xr:uid="{2466AFEE-D74F-4386-B5F5-BFC7D2DF854F}"/>
    <cellStyle name="Accent1 7" xfId="1285" xr:uid="{05CF63A8-9807-4393-8A94-AF866879A128}"/>
    <cellStyle name="Accent1 7 2" xfId="1286" xr:uid="{FC72E7F6-D5D9-453A-B032-9D1C234BAB1B}"/>
    <cellStyle name="Accent1 7 2 2" xfId="1287" xr:uid="{86BF94C6-C746-4D9C-BBDF-264FAFD9A45C}"/>
    <cellStyle name="Accent1 7 2 3" xfId="1288" xr:uid="{C53B6B89-2E79-4634-B2C8-461CA63F3240}"/>
    <cellStyle name="Accent1 7 2 4" xfId="4958" xr:uid="{47633F1A-5739-4BA9-BC46-304093133A8F}"/>
    <cellStyle name="Accent1 7 3" xfId="4959" xr:uid="{B689CBDD-B023-4E2F-8B6D-A1C574E9D983}"/>
    <cellStyle name="Accent1 7 4" xfId="4960" xr:uid="{B0552281-9A29-4F15-980F-D9B98AFC59DF}"/>
    <cellStyle name="Accent1 7 5" xfId="4961" xr:uid="{9559B844-4E63-467F-8515-FE8E163A0F69}"/>
    <cellStyle name="Accent1 7 6" xfId="4962" xr:uid="{18CA9882-0F04-48C8-9FB0-F3C149F8556C}"/>
    <cellStyle name="Accent1 7 7" xfId="4963" xr:uid="{DC4B65DC-582A-4A55-851D-246E594BE514}"/>
    <cellStyle name="Accent1 8" xfId="1289" xr:uid="{4C99AD7D-1327-46E6-98FC-6698814AD054}"/>
    <cellStyle name="Accent1 8 2" xfId="1290" xr:uid="{28BDD7E8-AF49-4B98-B0AB-C0E613EEE89A}"/>
    <cellStyle name="Accent1 8 2 2" xfId="1291" xr:uid="{88C51658-5DE2-4614-A28C-5DB6CA089151}"/>
    <cellStyle name="Accent1 8 2 3" xfId="1292" xr:uid="{2B352455-1CDE-41A8-B2E4-9F4401128702}"/>
    <cellStyle name="Accent1 8 2 4" xfId="4964" xr:uid="{88DBBC8C-36AD-418A-B0FE-F0CC321560A7}"/>
    <cellStyle name="Accent1 8 3" xfId="4965" xr:uid="{C3A7417B-C33A-4DDF-8383-635A64E92B8D}"/>
    <cellStyle name="Accent1 8 4" xfId="4966" xr:uid="{254CB33D-9FE1-4D37-A002-667570C99815}"/>
    <cellStyle name="Accent1 8 5" xfId="4967" xr:uid="{70891B1E-D3F7-47FA-B279-AC4F050118E8}"/>
    <cellStyle name="Accent1 8 6" xfId="4968" xr:uid="{7120F30D-5488-4688-BFAB-C63DB2010B0E}"/>
    <cellStyle name="Accent1 8 7" xfId="4969" xr:uid="{30A76805-6510-44EB-AAFF-31C0AB4BFEF0}"/>
    <cellStyle name="Accent1 9" xfId="1293" xr:uid="{C0D4664F-7A6C-4C46-BA5C-C12FFA9286EC}"/>
    <cellStyle name="Accent1 9 2" xfId="1294" xr:uid="{BA8DA9A4-24FB-459C-BF31-751619B27295}"/>
    <cellStyle name="Accent1 9 2 2" xfId="1295" xr:uid="{52F795E3-2028-4BA1-9980-4E59F58B4B90}"/>
    <cellStyle name="Accent1 9 2 3" xfId="1296" xr:uid="{0844B8E0-DE61-42FA-A18E-47CFEE04B322}"/>
    <cellStyle name="Accent1 9 2 4" xfId="4970" xr:uid="{BD42060F-7E13-45E1-A3C7-2DC3B2287373}"/>
    <cellStyle name="Accent1 9 3" xfId="4971" xr:uid="{311CDD54-6D24-416D-A08F-4B2D71EB3F62}"/>
    <cellStyle name="Accent1 9 4" xfId="4972" xr:uid="{66CBE84C-3D4B-49D5-883F-CC0CDDD8FB04}"/>
    <cellStyle name="Accent1 9 5" xfId="4973" xr:uid="{ADE90C52-E505-44CD-BF09-868C9534B242}"/>
    <cellStyle name="Accent1 9 6" xfId="4974" xr:uid="{0E0998F0-4320-4DD9-9C17-601D2A255C77}"/>
    <cellStyle name="Accent1 9 7" xfId="4975" xr:uid="{580733F5-7529-4D87-A2C9-505825630028}"/>
    <cellStyle name="Accent2 - 20%" xfId="1297" xr:uid="{D83C51DF-DD12-4EE6-BEC2-55C48FC8A75D}"/>
    <cellStyle name="Accent2 - 20% 2" xfId="1298" xr:uid="{9E6E2E61-9DCE-4A02-84C1-4CB6673A299A}"/>
    <cellStyle name="Accent2 - 40%" xfId="1299" xr:uid="{348FB96B-322E-4D70-BBAA-8D8AA9E682C2}"/>
    <cellStyle name="Accent2 - 40% 2" xfId="1300" xr:uid="{D0D98AA4-3F1B-4602-8C44-1024C6B9CA45}"/>
    <cellStyle name="Accent2 - 60%" xfId="1301" xr:uid="{54F7E4A4-EFA6-4E58-934F-68A6E87CD8FD}"/>
    <cellStyle name="Accent2 10" xfId="1302" xr:uid="{9F1DC6E6-F911-4DF4-9D9A-D7F7EAB87B67}"/>
    <cellStyle name="Accent2 10 2" xfId="1303" xr:uid="{70A1AE6F-8909-4F6E-8F65-723F464836EE}"/>
    <cellStyle name="Accent2 10 2 2" xfId="1304" xr:uid="{06571F89-AAFF-4339-B4C1-6E8197AAAD71}"/>
    <cellStyle name="Accent2 10 2 3" xfId="1305" xr:uid="{C48C8257-F3D6-4BD6-A929-B5502F84046A}"/>
    <cellStyle name="Accent2 10 2 4" xfId="4976" xr:uid="{06EFEFFA-5EA8-492C-8C1C-0E6A18C64B3B}"/>
    <cellStyle name="Accent2 10 3" xfId="4977" xr:uid="{68B7834C-2532-4D46-8C9B-5FC287C3F6F8}"/>
    <cellStyle name="Accent2 10 4" xfId="4978" xr:uid="{7CD30E62-9D2D-4CA7-B87F-68086359805D}"/>
    <cellStyle name="Accent2 10 5" xfId="4979" xr:uid="{E76753F0-DA66-47FD-8DF7-B35F8502860C}"/>
    <cellStyle name="Accent2 10 6" xfId="4980" xr:uid="{8C66E3B3-8C17-406B-9599-1E3FC8812DD1}"/>
    <cellStyle name="Accent2 10 7" xfId="4981" xr:uid="{8A821AA6-69A4-4C93-9710-02F81AE28320}"/>
    <cellStyle name="Accent2 11" xfId="1306" xr:uid="{F8A3AF74-845A-4A89-ADCA-853EF27B8E67}"/>
    <cellStyle name="Accent2 11 2" xfId="1307" xr:uid="{D6BD62E0-39C8-42F2-94F4-BDA5A6EC5B48}"/>
    <cellStyle name="Accent2 11 2 2" xfId="1308" xr:uid="{A71CC53D-3334-4FB1-9961-AAAEECBC7D6F}"/>
    <cellStyle name="Accent2 11 2 3" xfId="1309" xr:uid="{CF84728E-C0BE-4373-B867-D39AD5E6AB9C}"/>
    <cellStyle name="Accent2 11 2 4" xfId="4982" xr:uid="{04764FF6-7D9E-41FB-8A37-EC84DD180749}"/>
    <cellStyle name="Accent2 11 3" xfId="4983" xr:uid="{80290C6B-59FB-4138-86C5-C9A790C8F735}"/>
    <cellStyle name="Accent2 11 4" xfId="4984" xr:uid="{801D4A12-8ED6-4127-A573-498BB2AF5B00}"/>
    <cellStyle name="Accent2 11 5" xfId="4985" xr:uid="{5BAE6F55-584F-4AB3-9B8C-7C2F99E548FC}"/>
    <cellStyle name="Accent2 11 6" xfId="4986" xr:uid="{CB73A5C7-1A6A-4859-BF9B-86C1D76EDCC0}"/>
    <cellStyle name="Accent2 11 7" xfId="4987" xr:uid="{4CA5AEBD-AAD5-4073-8C43-CA110E3A66FA}"/>
    <cellStyle name="Accent2 12" xfId="1310" xr:uid="{08E3E46F-8E5C-4C56-9D8F-917C5BD51E42}"/>
    <cellStyle name="Accent2 12 2" xfId="1311" xr:uid="{E5BF4689-6461-4BA1-AB70-2B08FDDE5B74}"/>
    <cellStyle name="Accent2 12 2 2" xfId="1312" xr:uid="{2A00B4A1-3B22-4FC7-8835-95086704B92C}"/>
    <cellStyle name="Accent2 12 2 3" xfId="1313" xr:uid="{F398BC42-881B-4233-AD73-E6184AC80C56}"/>
    <cellStyle name="Accent2 12 2 4" xfId="4988" xr:uid="{AEC1D52E-1E24-459A-8BEE-5C1BAA996A96}"/>
    <cellStyle name="Accent2 12 3" xfId="4989" xr:uid="{DBE769CC-3CB1-431F-AB0C-7F1035C08657}"/>
    <cellStyle name="Accent2 12 4" xfId="4990" xr:uid="{8EFDB019-07B0-42A0-B197-B6692E689AA5}"/>
    <cellStyle name="Accent2 12 5" xfId="4991" xr:uid="{D84B8D19-1857-47E0-9E3F-7D0F02E1BBB7}"/>
    <cellStyle name="Accent2 12 6" xfId="4992" xr:uid="{73AF3794-41F4-494C-A599-51AEF8580A4D}"/>
    <cellStyle name="Accent2 12 7" xfId="4993" xr:uid="{69B16736-CD2D-496B-8D2E-67D2AAB8A6A5}"/>
    <cellStyle name="Accent2 13" xfId="1314" xr:uid="{FCD6DADE-569C-466E-BFAD-BBE741B9001E}"/>
    <cellStyle name="Accent2 13 2" xfId="4994" xr:uid="{53E4895A-2D64-473D-ABFC-270C007B4A32}"/>
    <cellStyle name="Accent2 14" xfId="1315" xr:uid="{EC3A9385-BE5D-4D34-9897-CC3C50E95F0C}"/>
    <cellStyle name="Accent2 14 2" xfId="4995" xr:uid="{4ED57329-99E5-4EF7-9C3D-417EAEC5581D}"/>
    <cellStyle name="Accent2 15" xfId="1316" xr:uid="{337B5B37-3FAC-47B0-B0E3-1813CC710EE1}"/>
    <cellStyle name="Accent2 15 2" xfId="4996" xr:uid="{7AE8BB0D-5923-4DF2-92D8-5CEABEBEE0CB}"/>
    <cellStyle name="Accent2 16" xfId="1317" xr:uid="{060E930B-A447-4C8B-99DE-306E2D85E29A}"/>
    <cellStyle name="Accent2 16 2" xfId="4997" xr:uid="{1E4E1754-94A7-42D2-859A-FE427CB5402C}"/>
    <cellStyle name="Accent2 17" xfId="1318" xr:uid="{4E7DBDDA-4A0E-4430-B05F-7F87B8F7A66A}"/>
    <cellStyle name="Accent2 17 2" xfId="4998" xr:uid="{76481532-863C-4660-B2DC-B48011B1F1B9}"/>
    <cellStyle name="Accent2 18" xfId="1319" xr:uid="{371F5695-33D0-4451-A238-82F239219FDB}"/>
    <cellStyle name="Accent2 18 2" xfId="4999" xr:uid="{D32E383C-8E66-4CF6-B892-E73B942BEB2F}"/>
    <cellStyle name="Accent2 19" xfId="1320" xr:uid="{45DBA76C-E1B5-404D-B3A9-E618128D0952}"/>
    <cellStyle name="Accent2 19 2" xfId="5000" xr:uid="{D8A09E72-1667-44D8-8EC9-F1DEB65D8847}"/>
    <cellStyle name="Accent2 2" xfId="1321" xr:uid="{5890CDCA-B18F-413F-A9E9-507DE31329A0}"/>
    <cellStyle name="Accent2 2 2" xfId="1322" xr:uid="{EEF0EB31-5F57-4672-A354-6F27D3E2CDFD}"/>
    <cellStyle name="Accent2 2 2 2" xfId="1323" xr:uid="{3C741084-B5F1-44D0-B48F-473B0CEAF179}"/>
    <cellStyle name="Accent2 2 2 2 2" xfId="1324" xr:uid="{8DCA730C-F8DA-4464-AAEE-139B531A1DF2}"/>
    <cellStyle name="Accent2 2 2 2 3" xfId="1325" xr:uid="{25FB30EF-B632-4BC8-A850-8F1222C143F8}"/>
    <cellStyle name="Accent2 2 2 3" xfId="1326" xr:uid="{0BBD10F2-8720-4382-B756-7D33A89D1A4D}"/>
    <cellStyle name="Accent2 2 2 4" xfId="1327" xr:uid="{D1827916-1F8C-4253-A71C-8DEF58B3B950}"/>
    <cellStyle name="Accent2 2 2 5" xfId="5001" xr:uid="{FB151526-DEC6-4718-9AD0-EA357584C1AF}"/>
    <cellStyle name="Accent2 2 3" xfId="5002" xr:uid="{B2719FDB-86B6-40B0-AFA9-BF69DE988DBC}"/>
    <cellStyle name="Accent2 2 4" xfId="5003" xr:uid="{DC7271FF-C36A-4826-A861-8EDFE21BF31B}"/>
    <cellStyle name="Accent2 2 5" xfId="5004" xr:uid="{196474FB-695D-49A4-BAF7-982C9AA1DBFE}"/>
    <cellStyle name="Accent2 2 6" xfId="5005" xr:uid="{2CBB6472-49CB-48AC-8A11-623C85B9DADD}"/>
    <cellStyle name="Accent2 2 7" xfId="5006" xr:uid="{8DD21845-429B-4C75-BC65-7A3FF6649184}"/>
    <cellStyle name="Accent2 20" xfId="1328" xr:uid="{9BA279D1-2250-41D9-A8A7-899FE3DA0997}"/>
    <cellStyle name="Accent2 20 2" xfId="5007" xr:uid="{3FE4288C-DE07-424E-9B06-B4E5575329F6}"/>
    <cellStyle name="Accent2 21" xfId="1329" xr:uid="{930DC83C-BF3E-44A1-A81A-964A25D2A706}"/>
    <cellStyle name="Accent2 21 2" xfId="5008" xr:uid="{6893D3DC-3A29-405D-B876-ABFD64C089BA}"/>
    <cellStyle name="Accent2 22" xfId="1330" xr:uid="{EEF7C2B4-C40D-42B9-974B-39D80EC532F6}"/>
    <cellStyle name="Accent2 23" xfId="1331" xr:uid="{EDEE3FCB-ACC4-4E05-8FE6-672AE303E98B}"/>
    <cellStyle name="Accent2 24" xfId="1332" xr:uid="{7EF8CC06-0B4E-4947-8412-FABE23E2B14A}"/>
    <cellStyle name="Accent2 25" xfId="1333" xr:uid="{3FEC2707-FD58-40EE-9153-C076F2CDC7AC}"/>
    <cellStyle name="Accent2 26" xfId="1334" xr:uid="{8BFC6DD4-8082-47FB-A7A3-7C9D640BB648}"/>
    <cellStyle name="Accent2 27" xfId="1335" xr:uid="{7F3209E8-114A-41EC-A745-E71B2FC1F883}"/>
    <cellStyle name="Accent2 28" xfId="1336" xr:uid="{3480872D-1E34-41B0-8874-1A742336B4A3}"/>
    <cellStyle name="Accent2 29" xfId="1337" xr:uid="{26E465D2-398E-4AC3-A235-DEFBC63EF832}"/>
    <cellStyle name="Accent2 3" xfId="1338" xr:uid="{ED73A331-7CE6-4514-8CB1-743ABDC61B7F}"/>
    <cellStyle name="Accent2 3 2" xfId="1339" xr:uid="{701C61F8-FA35-47F4-B805-DF7C9FBF8350}"/>
    <cellStyle name="Accent2 3 2 2" xfId="1340" xr:uid="{46A3555B-416A-40A3-AB39-7E81F5EAC3F8}"/>
    <cellStyle name="Accent2 3 2 3" xfId="1341" xr:uid="{18BC757B-3A9F-41EC-8C2C-03F514C851AE}"/>
    <cellStyle name="Accent2 3 2 4" xfId="5009" xr:uid="{55E5044E-DA0A-4347-911C-A26DC26202F8}"/>
    <cellStyle name="Accent2 3 3" xfId="5010" xr:uid="{144B2923-79D9-4337-B680-78FA9DECCB82}"/>
    <cellStyle name="Accent2 3 4" xfId="5011" xr:uid="{1886504B-3AA9-43DB-9F26-3C889A267B61}"/>
    <cellStyle name="Accent2 3 5" xfId="5012" xr:uid="{8EE77D39-C7FD-4282-B4A3-DE5D3CAFEB5E}"/>
    <cellStyle name="Accent2 3 6" xfId="5013" xr:uid="{2F377AA0-4EF8-4496-BCF4-75E28D1C9122}"/>
    <cellStyle name="Accent2 3 7" xfId="5014" xr:uid="{85495B07-3410-404C-A755-A0095A2CFA0F}"/>
    <cellStyle name="Accent2 3 8" xfId="3402" xr:uid="{D81E7B0F-17D6-415A-ADBA-338D772BFDC9}"/>
    <cellStyle name="Accent2 30" xfId="1342" xr:uid="{856F66D5-FE23-4A96-A3D7-CEDF414CA7F8}"/>
    <cellStyle name="Accent2 31" xfId="1343" xr:uid="{4EF95FAC-C6BC-480A-BB1A-7F9360DDCF13}"/>
    <cellStyle name="Accent2 32" xfId="1344" xr:uid="{EBB24BB1-C22B-4F45-BDAE-8138742552D8}"/>
    <cellStyle name="Accent2 33" xfId="1345" xr:uid="{C7E76FDD-103F-476D-99E6-59DBF6F1AFBE}"/>
    <cellStyle name="Accent2 34" xfId="1346" xr:uid="{0E6AD32B-8721-412A-BF25-33E4AE3606A5}"/>
    <cellStyle name="Accent2 35" xfId="1347" xr:uid="{17E91857-5113-46A6-B1F0-FE9E4AE5AE10}"/>
    <cellStyle name="Accent2 36" xfId="1348" xr:uid="{311E2940-8BE5-4EBD-A636-10B4BCC6A05A}"/>
    <cellStyle name="Accent2 37" xfId="1349" xr:uid="{88C8E3EC-F43B-4114-9C93-08E77A92737F}"/>
    <cellStyle name="Accent2 38" xfId="1350" xr:uid="{9961AE43-5EDD-4761-916C-DA940F544E6D}"/>
    <cellStyle name="Accent2 4" xfId="1351" xr:uid="{FD0B9BEB-5A68-43F8-85B3-3DED4C7AA6A5}"/>
    <cellStyle name="Accent2 4 2" xfId="1352" xr:uid="{A2DDBC28-BA05-41F0-B91B-9245589A131F}"/>
    <cellStyle name="Accent2 4 2 2" xfId="1353" xr:uid="{9C85EDD4-19F7-48CA-9482-5EC4AE7909A0}"/>
    <cellStyle name="Accent2 4 2 3" xfId="1354" xr:uid="{0E3999E6-42B4-49A4-96C1-36500A0DD3B4}"/>
    <cellStyle name="Accent2 4 2 4" xfId="5016" xr:uid="{30FCF865-8273-4DD8-9678-49CDD5482EC4}"/>
    <cellStyle name="Accent2 4 3" xfId="5017" xr:uid="{35B966F1-4B5A-431E-AC34-0ABD265364E7}"/>
    <cellStyle name="Accent2 4 4" xfId="5018" xr:uid="{7A27502B-9114-4788-84B2-2E4F6F9B848C}"/>
    <cellStyle name="Accent2 4 5" xfId="5019" xr:uid="{41A13F43-207F-41F1-8EF1-38D98BB87193}"/>
    <cellStyle name="Accent2 4 6" xfId="5020" xr:uid="{77696E40-7CD0-42A3-A4DC-6B5B9B051FB9}"/>
    <cellStyle name="Accent2 4 7" xfId="5021" xr:uid="{D4B5A96A-F0FA-4B15-B535-F19BC5177A94}"/>
    <cellStyle name="Accent2 4 8" xfId="5015" xr:uid="{9243B495-3A3D-4800-98E3-455ECF174C63}"/>
    <cellStyle name="Accent2 5" xfId="1355" xr:uid="{A4977B8C-AF22-4BE3-B3B1-51234EAE3804}"/>
    <cellStyle name="Accent2 5 2" xfId="1356" xr:uid="{DD0DFBDA-D7D7-4EB6-9D6E-FFEAE5094C1D}"/>
    <cellStyle name="Accent2 5 2 2" xfId="1357" xr:uid="{2B52616B-E5C1-42A3-9DEC-E906A24DD53E}"/>
    <cellStyle name="Accent2 5 2 3" xfId="1358" xr:uid="{44CC7A49-65C7-41D6-B8BC-9882E46BD2E4}"/>
    <cellStyle name="Accent2 5 2 4" xfId="5023" xr:uid="{8AF087F5-AC97-4CBE-97ED-B19E4C715A1B}"/>
    <cellStyle name="Accent2 5 3" xfId="5024" xr:uid="{2CC2F50A-3D14-4A55-B2DE-C16053D934AA}"/>
    <cellStyle name="Accent2 5 4" xfId="5025" xr:uid="{548A95F0-74A7-474C-9735-9BADF28DBC09}"/>
    <cellStyle name="Accent2 5 5" xfId="5026" xr:uid="{E3FBF30A-FF58-41E7-953E-C77B55EFCCE0}"/>
    <cellStyle name="Accent2 5 6" xfId="5027" xr:uid="{F9C3AB65-ABF1-4FC1-B2A4-B915A642C26B}"/>
    <cellStyle name="Accent2 5 7" xfId="5028" xr:uid="{3981ED59-DF40-4B96-9214-10F33F0209AA}"/>
    <cellStyle name="Accent2 5 8" xfId="5022" xr:uid="{0D04FBE7-17CC-4F32-8818-E1BD6B201001}"/>
    <cellStyle name="Accent2 6" xfId="1359" xr:uid="{869F6D03-74BF-47E5-97DB-F4CEA45141FE}"/>
    <cellStyle name="Accent2 6 2" xfId="1360" xr:uid="{5ABD8FB8-62B2-455A-912B-D321A305CC05}"/>
    <cellStyle name="Accent2 6 2 2" xfId="1361" xr:uid="{C0206604-CB4D-4A62-9E83-5A63BF7AF754}"/>
    <cellStyle name="Accent2 6 2 3" xfId="1362" xr:uid="{0067F73B-564F-4BA0-911E-F352FF98F5C7}"/>
    <cellStyle name="Accent2 6 2 4" xfId="5029" xr:uid="{B3C40D2E-5846-4920-9722-6BF1AAB03680}"/>
    <cellStyle name="Accent2 6 3" xfId="5030" xr:uid="{5A18B2A0-D439-42E8-ACE9-FDE1B9212C63}"/>
    <cellStyle name="Accent2 6 4" xfId="5031" xr:uid="{8914685F-69FE-4CAC-9846-EF1A2430E96C}"/>
    <cellStyle name="Accent2 6 5" xfId="5032" xr:uid="{9823EF93-F475-44FA-8B3A-1518D314FC35}"/>
    <cellStyle name="Accent2 6 6" xfId="5033" xr:uid="{1402D1D9-822C-4DE9-AC27-AC9F6831A9C2}"/>
    <cellStyle name="Accent2 6 7" xfId="5034" xr:uid="{BC6E0806-3267-4BC8-B02F-368C3C57186C}"/>
    <cellStyle name="Accent2 7" xfId="1363" xr:uid="{0525AA8B-A16C-429D-AE95-745E56ED6863}"/>
    <cellStyle name="Accent2 7 2" xfId="1364" xr:uid="{E50C9CCC-17B0-4B3F-BF93-C916A11EEE66}"/>
    <cellStyle name="Accent2 7 2 2" xfId="1365" xr:uid="{4E8F0390-738B-438F-8583-AAD94DF073A0}"/>
    <cellStyle name="Accent2 7 2 3" xfId="1366" xr:uid="{2941677D-4038-4BE2-96E4-C29E45EFC22A}"/>
    <cellStyle name="Accent2 7 2 4" xfId="5035" xr:uid="{61116971-30E8-478F-A7FA-063487E8D8B7}"/>
    <cellStyle name="Accent2 7 3" xfId="5036" xr:uid="{08FF7C75-9425-43D3-A255-024818DA3E24}"/>
    <cellStyle name="Accent2 7 4" xfId="5037" xr:uid="{A4623EB3-1CB7-450F-B999-05E179E06BED}"/>
    <cellStyle name="Accent2 7 5" xfId="5038" xr:uid="{3C730DB9-50B1-42D4-8599-B603E00B6820}"/>
    <cellStyle name="Accent2 7 6" xfId="5039" xr:uid="{320CF834-9BE0-472A-9DDE-02AC557D53B5}"/>
    <cellStyle name="Accent2 7 7" xfId="5040" xr:uid="{9079B9D4-69EE-49DD-90F9-A847FA801795}"/>
    <cellStyle name="Accent2 8" xfId="1367" xr:uid="{069D097E-ADEB-4B5A-9C4E-038DA4E2677A}"/>
    <cellStyle name="Accent2 8 2" xfId="1368" xr:uid="{AE126935-81A8-4ACC-A22C-B515E90D0B63}"/>
    <cellStyle name="Accent2 8 2 2" xfId="1369" xr:uid="{9602A44E-A07D-43CC-9584-A99043111909}"/>
    <cellStyle name="Accent2 8 2 3" xfId="1370" xr:uid="{E80EB089-097D-4614-933B-6D97F8E93281}"/>
    <cellStyle name="Accent2 8 2 4" xfId="5041" xr:uid="{728F688A-A0AF-495C-89D6-295AA0EA6CFF}"/>
    <cellStyle name="Accent2 8 3" xfId="5042" xr:uid="{4F61A25B-3793-489A-9717-B7B4FE3BF03F}"/>
    <cellStyle name="Accent2 8 4" xfId="5043" xr:uid="{C7078CF1-C7CC-4CF8-B1E5-979558B1CDC0}"/>
    <cellStyle name="Accent2 8 5" xfId="5044" xr:uid="{D3D7AEAD-91B3-4A70-90FF-E62740BFA172}"/>
    <cellStyle name="Accent2 8 6" xfId="5045" xr:uid="{40C2A706-A688-4C41-BC83-4D09351DB8F0}"/>
    <cellStyle name="Accent2 8 7" xfId="5046" xr:uid="{C826F15B-7B71-4CF3-B2B7-CFB8E6CB0E96}"/>
    <cellStyle name="Accent2 9" xfId="1371" xr:uid="{3351C05D-77CE-49D2-AED1-F43CCFF8B475}"/>
    <cellStyle name="Accent2 9 2" xfId="1372" xr:uid="{B2FDFB7D-BB2A-44CF-93B8-F91A6214BED1}"/>
    <cellStyle name="Accent2 9 2 2" xfId="1373" xr:uid="{F1647D39-FE41-405E-BA9E-76EEA5B38CFF}"/>
    <cellStyle name="Accent2 9 2 3" xfId="1374" xr:uid="{FE57F869-176B-4939-9DBF-5E453C1483BD}"/>
    <cellStyle name="Accent2 9 2 4" xfId="5047" xr:uid="{6E493E5F-B4C5-4A57-8116-A65768A951E7}"/>
    <cellStyle name="Accent2 9 3" xfId="5048" xr:uid="{E196CF66-0BF5-469B-96A0-1AE84C717759}"/>
    <cellStyle name="Accent2 9 4" xfId="5049" xr:uid="{61A1DA96-DC6E-4E6C-AB07-845832DBB2C9}"/>
    <cellStyle name="Accent2 9 5" xfId="5050" xr:uid="{C29CC388-97A4-4D56-9C40-3CBA1EB92DCE}"/>
    <cellStyle name="Accent2 9 6" xfId="5051" xr:uid="{5E14764E-6DA1-4524-A8AB-119AAFAC4BD8}"/>
    <cellStyle name="Accent2 9 7" xfId="5052" xr:uid="{3F674E4C-642B-45EC-818A-A47F130C222C}"/>
    <cellStyle name="Accent3 - 20%" xfId="1375" xr:uid="{382293E5-1261-4484-BC40-113C4BBF5182}"/>
    <cellStyle name="Accent3 - 20% 2" xfId="1376" xr:uid="{0AAF39B0-BE9A-4549-AB1B-C337A2B8CFB7}"/>
    <cellStyle name="Accent3 - 40%" xfId="1377" xr:uid="{8B15A1CA-3E6D-4300-81A2-11825096CF0E}"/>
    <cellStyle name="Accent3 - 40% 2" xfId="1378" xr:uid="{B1B420B3-22F6-4BC0-BF52-6BD5C2B66897}"/>
    <cellStyle name="Accent3 - 60%" xfId="1379" xr:uid="{35D0165C-769F-493F-AE65-BE9433AB9304}"/>
    <cellStyle name="Accent3 10" xfId="1380" xr:uid="{A99E2044-75D8-4840-9EF1-611391AA5232}"/>
    <cellStyle name="Accent3 11" xfId="1381" xr:uid="{4A476EF2-C602-45EC-A847-A814A7A642E9}"/>
    <cellStyle name="Accent3 12" xfId="1382" xr:uid="{667E2F79-3114-43E8-AA9C-C262870CDA64}"/>
    <cellStyle name="Accent3 13" xfId="1383" xr:uid="{5999A63A-9763-4616-8F1B-D1E7B7807C9B}"/>
    <cellStyle name="Accent3 14" xfId="1384" xr:uid="{A4DCFE35-2A77-47BF-9C4F-1462D3BC2CFA}"/>
    <cellStyle name="Accent3 15" xfId="1385" xr:uid="{47D855B1-AB1F-469F-8DDA-5534E33E892C}"/>
    <cellStyle name="Accent3 2" xfId="1386" xr:uid="{B6E53C72-9E04-4D5C-B2EB-8F7AB866FA44}"/>
    <cellStyle name="Accent3 2 2" xfId="5053" xr:uid="{0B1A7765-BF43-46F8-A170-4842D073D02A}"/>
    <cellStyle name="Accent3 3" xfId="1387" xr:uid="{C8BA4B41-638C-48CF-B1E9-1C36C6458676}"/>
    <cellStyle name="Accent3 3 2" xfId="5054" xr:uid="{B910A121-69FD-465E-84D4-93E6503BCA9A}"/>
    <cellStyle name="Accent3 3 3" xfId="3395" xr:uid="{50754510-7328-4D43-AC14-9D96A637EF01}"/>
    <cellStyle name="Accent3 4" xfId="1388" xr:uid="{4A0452F5-9A13-4E44-B906-AB1DA452DE52}"/>
    <cellStyle name="Accent3 4 2" xfId="5056" xr:uid="{C1026F1B-6258-4EC3-82FB-653674DB4FFD}"/>
    <cellStyle name="Accent3 4 3" xfId="5055" xr:uid="{641C75BB-C8B6-409B-BD25-C0DA6C8FB99F}"/>
    <cellStyle name="Accent3 5" xfId="1389" xr:uid="{DA603BB5-551E-4789-9E28-24898C74869B}"/>
    <cellStyle name="Accent3 5 2" xfId="5058" xr:uid="{F034ABD4-09B8-43AA-A8FC-9752EAA8C092}"/>
    <cellStyle name="Accent3 5 3" xfId="5057" xr:uid="{070EF80F-60B9-4951-AB59-F81030C68B3E}"/>
    <cellStyle name="Accent3 6" xfId="1390" xr:uid="{285F80A0-9C0E-4C79-9A43-96C9D157DADD}"/>
    <cellStyle name="Accent3 7" xfId="1391" xr:uid="{4332A52F-78A0-40BB-B008-80B78ACD76AA}"/>
    <cellStyle name="Accent3 8" xfId="1392" xr:uid="{8659DF18-B7F4-4CB4-B6F6-FD63D37FC3AC}"/>
    <cellStyle name="Accent3 9" xfId="1393" xr:uid="{A729BDEE-5870-4D30-9FB9-F29F637C6AE1}"/>
    <cellStyle name="Accent4 - 20%" xfId="1394" xr:uid="{86F14692-DB55-43A4-88B2-0603BBE7D55C}"/>
    <cellStyle name="Accent4 - 20% 2" xfId="1395" xr:uid="{A4F140D0-476B-496D-930D-D4E912F3EDA8}"/>
    <cellStyle name="Accent4 - 40%" xfId="1396" xr:uid="{374BEA17-C01C-4305-B710-FDEB34686CD2}"/>
    <cellStyle name="Accent4 - 40% 2" xfId="1397" xr:uid="{8D915019-3E6F-4AAC-9191-DACC417588B4}"/>
    <cellStyle name="Accent4 - 60%" xfId="1398" xr:uid="{793E0CAD-3D96-44A5-8404-58472F639F6F}"/>
    <cellStyle name="Accent4 10" xfId="1399" xr:uid="{1E152C7F-77B3-41A8-8518-71D3FFF44FB8}"/>
    <cellStyle name="Accent4 11" xfId="1400" xr:uid="{5AB00145-5BF9-4412-BE6F-DABE2B1EE5D5}"/>
    <cellStyle name="Accent4 12" xfId="1401" xr:uid="{D4B01FBC-DF53-400C-8DB1-DC1987FE4F87}"/>
    <cellStyle name="Accent4 13" xfId="1402" xr:uid="{78C3196E-998E-4D30-8091-C70ED6D03A20}"/>
    <cellStyle name="Accent4 14" xfId="1403" xr:uid="{4E05899A-AF37-4EFE-A727-D9B55B6D960B}"/>
    <cellStyle name="Accent4 15" xfId="1404" xr:uid="{F2505015-FD01-4C81-AD29-48FF0EAAD007}"/>
    <cellStyle name="Accent4 16" xfId="1405" xr:uid="{12AC770C-3C13-43A9-89C2-336E0724E2E4}"/>
    <cellStyle name="Accent4 17" xfId="1406" xr:uid="{7F81CC7B-3F31-48AA-B956-D94BD2F3B3C4}"/>
    <cellStyle name="Accent4 18" xfId="1407" xr:uid="{3D6A887D-51E2-4EF4-B338-4D39A7B1AADB}"/>
    <cellStyle name="Accent4 19" xfId="1408" xr:uid="{01AA6D13-9F9C-47C6-BA03-E119EADCE266}"/>
    <cellStyle name="Accent4 2" xfId="1409" xr:uid="{68CC5F3A-57E9-418F-8E17-27DB7F51AFC6}"/>
    <cellStyle name="Accent4 2 2" xfId="1410" xr:uid="{BE2514EC-8DA8-4BC4-82A1-58B67CA7D76E}"/>
    <cellStyle name="Accent4 2 2 2" xfId="5059" xr:uid="{2442DC9A-6D2B-4CAD-B0A2-2D76A5C418A4}"/>
    <cellStyle name="Accent4 20" xfId="1411" xr:uid="{DD4BFDA9-7391-46F0-9C44-5C9D563CF313}"/>
    <cellStyle name="Accent4 21" xfId="1412" xr:uid="{1ED673AC-CCC2-46D5-AD3C-FDF4A0E75BFD}"/>
    <cellStyle name="Accent4 22" xfId="1413" xr:uid="{A180429B-AC39-4600-9D08-89614640E75C}"/>
    <cellStyle name="Accent4 23" xfId="1414" xr:uid="{7AA0159B-4AC6-47F1-92EE-E166C8E0CFB7}"/>
    <cellStyle name="Accent4 24" xfId="1415" xr:uid="{3AC9036B-8D9B-45E2-88E0-0B568BD8B4BE}"/>
    <cellStyle name="Accent4 25" xfId="1416" xr:uid="{EB7D3F57-7115-40A0-B56D-FDDDE710572C}"/>
    <cellStyle name="Accent4 26" xfId="1417" xr:uid="{449CF497-49A0-4F48-AC12-A632A10B7F83}"/>
    <cellStyle name="Accent4 27" xfId="1418" xr:uid="{92CB816F-DB1E-4C02-9746-C3A28FCA769F}"/>
    <cellStyle name="Accent4 28" xfId="1419" xr:uid="{CFB85E87-A23A-4E1D-82C6-35AC458118DC}"/>
    <cellStyle name="Accent4 29" xfId="1420" xr:uid="{1CC82105-43BD-428C-8036-9CF709928AE2}"/>
    <cellStyle name="Accent4 3" xfId="1421" xr:uid="{370AA78F-2710-4538-8B39-A386439CC6F8}"/>
    <cellStyle name="Accent4 3 2" xfId="5060" xr:uid="{ED3533EF-B066-44F8-9582-1D9F2ABB5018}"/>
    <cellStyle name="Accent4 3 3" xfId="3408" xr:uid="{5C4CDA34-8368-441F-AA48-04ADC694123B}"/>
    <cellStyle name="Accent4 30" xfId="1422" xr:uid="{387011D9-5635-4468-9D34-E8160F274DDC}"/>
    <cellStyle name="Accent4 31" xfId="1423" xr:uid="{873A702B-DD56-46EF-BDE9-77AA36709E58}"/>
    <cellStyle name="Accent4 32" xfId="1424" xr:uid="{6C4F5584-EC22-47E8-A94C-901DF72C3E06}"/>
    <cellStyle name="Accent4 33" xfId="1425" xr:uid="{719D22D8-041E-4AD5-ABE9-3799401376AB}"/>
    <cellStyle name="Accent4 34" xfId="1426" xr:uid="{3A17DF39-1B5D-4CE3-A06A-099BC1868AB0}"/>
    <cellStyle name="Accent4 35" xfId="1427" xr:uid="{5BFD07B7-59F3-4CEF-8E7F-37659885F740}"/>
    <cellStyle name="Accent4 36" xfId="1428" xr:uid="{FF87EBF1-5D82-44AE-B0EB-E213C58C2764}"/>
    <cellStyle name="Accent4 37" xfId="1429" xr:uid="{70A6CA35-C615-4848-9211-07A6A7360D40}"/>
    <cellStyle name="Accent4 38" xfId="1430" xr:uid="{62C9FF8C-F84E-4DDA-BC62-5BE8E4B9AEEB}"/>
    <cellStyle name="Accent4 4" xfId="1431" xr:uid="{FA9946B4-90B6-47FC-8031-2F7EBDF39C23}"/>
    <cellStyle name="Accent4 4 2" xfId="5062" xr:uid="{0C936112-B109-4F45-8DFA-0539DC7D3AAF}"/>
    <cellStyle name="Accent4 4 3" xfId="5061" xr:uid="{0D164325-A225-4D02-8E62-DC2F15221991}"/>
    <cellStyle name="Accent4 5" xfId="1432" xr:uid="{FC66C970-D234-491B-9531-7546AA792054}"/>
    <cellStyle name="Accent4 5 2" xfId="5064" xr:uid="{46DA482C-FA30-4B4E-B378-BF660B104F12}"/>
    <cellStyle name="Accent4 5 3" xfId="5063" xr:uid="{6D4AFA54-560F-4502-8635-DAABEE907781}"/>
    <cellStyle name="Accent4 6" xfId="1433" xr:uid="{AA468976-DAE4-458A-8BB0-7E06F4237728}"/>
    <cellStyle name="Accent4 7" xfId="1434" xr:uid="{65DA1094-3142-4D2E-B0E9-3AB02044D4B6}"/>
    <cellStyle name="Accent4 8" xfId="1435" xr:uid="{784069D1-7042-45CE-AF4D-AC25C97FD9D2}"/>
    <cellStyle name="Accent4 9" xfId="1436" xr:uid="{79E56F58-F8C9-464B-8B6F-ED046246B7B8}"/>
    <cellStyle name="Accent5 - 20%" xfId="1437" xr:uid="{EE70748D-3DEB-4EE8-BB22-1862D44529AD}"/>
    <cellStyle name="Accent5 - 20% 2" xfId="1438" xr:uid="{37A5D1AF-0D11-4D89-A740-D48615C535A0}"/>
    <cellStyle name="Accent5 - 40%" xfId="1439" xr:uid="{18728513-5C40-4B0B-9317-D85F36F0FCE6}"/>
    <cellStyle name="Accent5 - 40% 2" xfId="1440" xr:uid="{0D621B51-37D9-4580-B0E6-41273B93E8F4}"/>
    <cellStyle name="Accent5 - 60%" xfId="1441" xr:uid="{00BF90E8-95FF-4D8E-B479-4095725C410B}"/>
    <cellStyle name="Accent5 10" xfId="1442" xr:uid="{553F4A27-B3B0-471F-B309-E978E96BEE78}"/>
    <cellStyle name="Accent5 11" xfId="1443" xr:uid="{B50BB265-F7D2-4AAE-9B6F-441EF2AA45B6}"/>
    <cellStyle name="Accent5 12" xfId="1444" xr:uid="{7D4A5F99-35DA-4C4F-B541-7AAB0417037F}"/>
    <cellStyle name="Accent5 13" xfId="1445" xr:uid="{408FAEA7-AE16-4BDB-AF87-C3F4AB83BD7E}"/>
    <cellStyle name="Accent5 14" xfId="1446" xr:uid="{FF4DB21A-7020-4B69-87E3-0E64731CBC2B}"/>
    <cellStyle name="Accent5 15" xfId="1447" xr:uid="{38979B28-C41D-46DB-8A17-CC45A9C8EA7A}"/>
    <cellStyle name="Accent5 2" xfId="1448" xr:uid="{ED1A999E-BC1E-4224-BACD-328B51811D42}"/>
    <cellStyle name="Accent5 2 2" xfId="5065" xr:uid="{7F93DA4A-BA76-483E-86F0-C75175BEEC2F}"/>
    <cellStyle name="Accent5 3" xfId="1449" xr:uid="{AC7FFE29-12BF-4783-9886-97D81BA44E42}"/>
    <cellStyle name="Accent5 3 2" xfId="5066" xr:uid="{BA05DBF2-3501-4AED-8860-329E542C388B}"/>
    <cellStyle name="Accent5 3 3" xfId="3405" xr:uid="{8E073FA2-6C31-45FB-8477-ED1E8C10FFC3}"/>
    <cellStyle name="Accent5 4" xfId="1450" xr:uid="{A927543A-6DC4-474A-B27A-5E7CBAB98BC3}"/>
    <cellStyle name="Accent5 4 2" xfId="5068" xr:uid="{87DEC58D-666B-4950-981A-D24262C1B710}"/>
    <cellStyle name="Accent5 4 3" xfId="5067" xr:uid="{88A1E827-E9DA-43D9-9390-D00CB7421B9D}"/>
    <cellStyle name="Accent5 5" xfId="1451" xr:uid="{DD973997-C700-4226-9D19-CA5A5051CF2A}"/>
    <cellStyle name="Accent5 5 2" xfId="5070" xr:uid="{55A0CEED-E50D-4569-9E8F-01642A3CF0A5}"/>
    <cellStyle name="Accent5 5 3" xfId="5069" xr:uid="{20656B4C-BFAF-44E4-B8F3-4D57E174C876}"/>
    <cellStyle name="Accent5 6" xfId="1452" xr:uid="{5E5931F1-A0BB-4353-97F0-1DEDCB37013A}"/>
    <cellStyle name="Accent5 7" xfId="1453" xr:uid="{7B969ACB-1818-4809-A307-6CC72271F148}"/>
    <cellStyle name="Accent5 8" xfId="1454" xr:uid="{8B611916-AA07-47D4-A928-0B0F5170D76F}"/>
    <cellStyle name="Accent5 9" xfId="1455" xr:uid="{1DCE5EED-B057-4556-A9F1-55D62DD49BD2}"/>
    <cellStyle name="Accent6 - 20%" xfId="1456" xr:uid="{ABA79FD8-DA87-450D-91F4-A8C31779AFAC}"/>
    <cellStyle name="Accent6 - 20% 2" xfId="1457" xr:uid="{19D6E36A-0B87-48F7-8EBF-E068B948EB20}"/>
    <cellStyle name="Accent6 - 40%" xfId="1458" xr:uid="{26B3837A-061A-4B6B-91FB-F71105F00D04}"/>
    <cellStyle name="Accent6 - 40% 2" xfId="1459" xr:uid="{64B08B4E-1AAF-4F68-9E5B-04D1EE104C76}"/>
    <cellStyle name="Accent6 - 60%" xfId="1460" xr:uid="{847692D5-8172-4AE6-BA26-DE90719C7043}"/>
    <cellStyle name="Accent6 10" xfId="1461" xr:uid="{BC400209-275B-48AA-B41E-CEAC1A737472}"/>
    <cellStyle name="Accent6 10 2" xfId="1462" xr:uid="{F2C633A0-07D6-485F-A70E-8EAE5FCE19BF}"/>
    <cellStyle name="Accent6 10 2 2" xfId="1463" xr:uid="{3CB58370-589D-43E9-8406-25E55D746CE1}"/>
    <cellStyle name="Accent6 10 2 2 2" xfId="5072" xr:uid="{32B3DA2F-66B1-4C9F-AF98-404B9B62CAED}"/>
    <cellStyle name="Accent6 10 2 3" xfId="1464" xr:uid="{74E2A0C4-5DFE-4D30-BB27-A47211F51070}"/>
    <cellStyle name="Accent6 10 2 3 2" xfId="5073" xr:uid="{D60C249F-3864-4DE1-916A-A27CD8E653B7}"/>
    <cellStyle name="Accent6 10 2 4" xfId="5071" xr:uid="{6232545B-DA53-43F9-A6E8-A52F90D3C1F6}"/>
    <cellStyle name="Accent6 10 3" xfId="5074" xr:uid="{080BD0BF-43FA-4E96-A8CB-764592A3188E}"/>
    <cellStyle name="Accent6 10 3 2" xfId="5075" xr:uid="{69CE3663-3B92-448F-A9DA-F4AB10AD365C}"/>
    <cellStyle name="Accent6 10 3 3" xfId="5076" xr:uid="{98A62F30-4131-42F0-86FA-6FBE1DD9E84C}"/>
    <cellStyle name="Accent6 10 4" xfId="5077" xr:uid="{BA25A71C-2003-4136-BE15-23CE2FA4517F}"/>
    <cellStyle name="Accent6 10 4 2" xfId="5078" xr:uid="{6EF88E11-B451-469B-9F36-7A0DBC24F911}"/>
    <cellStyle name="Accent6 10 4 3" xfId="5079" xr:uid="{8735AB4F-F9C5-46C4-B803-2C2B807C7238}"/>
    <cellStyle name="Accent6 10 5" xfId="5080" xr:uid="{742F2B85-5868-483A-83BF-E58ECA3B2359}"/>
    <cellStyle name="Accent6 10 5 2" xfId="5081" xr:uid="{F9F1D66D-9436-4D81-B283-45E401D80747}"/>
    <cellStyle name="Accent6 10 5 3" xfId="5082" xr:uid="{02029D56-2D9B-429E-B766-3957E97F5A25}"/>
    <cellStyle name="Accent6 10 6" xfId="5083" xr:uid="{08F28F7E-4FAB-445C-B49A-4CE72A9A0D42}"/>
    <cellStyle name="Accent6 10 6 2" xfId="5084" xr:uid="{7882323A-87DE-47CC-AE2B-1050CE010D6F}"/>
    <cellStyle name="Accent6 10 6 3" xfId="5085" xr:uid="{9CBA7714-6171-49DD-95BD-333326EE26EF}"/>
    <cellStyle name="Accent6 10 7" xfId="5086" xr:uid="{E6A5895E-4315-4AFC-B8E7-1531480E51EF}"/>
    <cellStyle name="Accent6 10 7 2" xfId="5087" xr:uid="{E62F90EA-CA5D-4D69-86D2-F14BD87F54E6}"/>
    <cellStyle name="Accent6 10 7 3" xfId="5088" xr:uid="{BF5FE511-2EEE-4DBE-B052-FBC759E2588D}"/>
    <cellStyle name="Accent6 11" xfId="1465" xr:uid="{2B4FDACD-9CA5-4A1F-8234-251ECD3CDC84}"/>
    <cellStyle name="Accent6 11 2" xfId="1466" xr:uid="{859B8289-C92B-4F48-9FDF-A54883461921}"/>
    <cellStyle name="Accent6 11 2 2" xfId="1467" xr:uid="{94ABBBB0-4BEF-471C-B2C4-F588D7C0B32A}"/>
    <cellStyle name="Accent6 11 2 2 2" xfId="5090" xr:uid="{EFF81A36-8346-4BD4-BC52-246F58EA37B3}"/>
    <cellStyle name="Accent6 11 2 3" xfId="1468" xr:uid="{30695B6E-18F4-447B-9359-6E9257299BAD}"/>
    <cellStyle name="Accent6 11 2 3 2" xfId="5091" xr:uid="{5C0D3DD2-33D2-496F-B9E3-1E87E949E5DA}"/>
    <cellStyle name="Accent6 11 2 4" xfId="5089" xr:uid="{4DEBBECA-413A-485C-86FA-2F42B06DC635}"/>
    <cellStyle name="Accent6 11 3" xfId="5092" xr:uid="{9F34D019-BE89-4A9A-9F50-F2333A1A4439}"/>
    <cellStyle name="Accent6 11 3 2" xfId="5093" xr:uid="{A1FB7BCC-50E6-40EC-98AE-248F3F760A5C}"/>
    <cellStyle name="Accent6 11 3 3" xfId="5094" xr:uid="{0D28BC00-A253-4854-85A4-97E9B1AA3C3F}"/>
    <cellStyle name="Accent6 11 4" xfId="5095" xr:uid="{AA950523-3FDC-4371-B11C-AFE9124702FB}"/>
    <cellStyle name="Accent6 11 4 2" xfId="5096" xr:uid="{35BE0570-4130-4BC8-BAAA-3005BA442EFB}"/>
    <cellStyle name="Accent6 11 4 3" xfId="5097" xr:uid="{20C39B51-14AC-4234-B809-BA0FA7503F49}"/>
    <cellStyle name="Accent6 11 5" xfId="5098" xr:uid="{2AA18349-431A-4FA8-B4FF-CD09E42BBE40}"/>
    <cellStyle name="Accent6 11 5 2" xfId="5099" xr:uid="{81DFD83E-6BA8-4600-BF6D-19C6E02AA448}"/>
    <cellStyle name="Accent6 11 5 3" xfId="5100" xr:uid="{23021277-3253-42CD-9B8F-10815C737D0A}"/>
    <cellStyle name="Accent6 11 6" xfId="5101" xr:uid="{F0352AE7-103A-401A-A5D4-36E5E54F8041}"/>
    <cellStyle name="Accent6 11 6 2" xfId="5102" xr:uid="{D49B117A-42DD-4D85-8C0D-B4CCABFD6B4C}"/>
    <cellStyle name="Accent6 11 6 3" xfId="5103" xr:uid="{622063BF-8A4D-471E-9411-7E2DC77BF878}"/>
    <cellStyle name="Accent6 11 7" xfId="5104" xr:uid="{135329CD-E491-4FDF-BA76-E45D6AC95AFF}"/>
    <cellStyle name="Accent6 11 7 2" xfId="5105" xr:uid="{D3450369-B3C8-4DF9-844E-E425D938268A}"/>
    <cellStyle name="Accent6 11 7 3" xfId="5106" xr:uid="{5494D198-9FDF-4E9E-933B-67DC1E2F3C99}"/>
    <cellStyle name="Accent6 12" xfId="1469" xr:uid="{91681CA6-ECD1-4679-99B5-128AEE70E5CB}"/>
    <cellStyle name="Accent6 12 2" xfId="1470" xr:uid="{DF498FDB-E08B-4555-B89C-0F85EF503124}"/>
    <cellStyle name="Accent6 12 2 2" xfId="1471" xr:uid="{133608A7-B396-4E34-934E-2557229A7891}"/>
    <cellStyle name="Accent6 12 2 2 2" xfId="5108" xr:uid="{8AF64EE2-F5F1-40B8-89BE-2543F738403F}"/>
    <cellStyle name="Accent6 12 2 3" xfId="1472" xr:uid="{516902EB-BD3F-4D69-B9F3-62042108A2A1}"/>
    <cellStyle name="Accent6 12 2 3 2" xfId="5109" xr:uid="{B3C8BC22-AEC0-467C-B780-639577C9D273}"/>
    <cellStyle name="Accent6 12 2 4" xfId="5107" xr:uid="{F9FF72ED-F7C7-4871-8BD2-7A5F2706388A}"/>
    <cellStyle name="Accent6 12 3" xfId="5110" xr:uid="{330F8883-172E-428E-A5FA-FC5AA5ACC5D5}"/>
    <cellStyle name="Accent6 12 3 2" xfId="5111" xr:uid="{5259DB2C-83BF-435A-87B4-BDFA55B3B9CC}"/>
    <cellStyle name="Accent6 12 3 3" xfId="5112" xr:uid="{7E9C168F-CBB7-4D0A-9307-0082DE74404C}"/>
    <cellStyle name="Accent6 12 4" xfId="5113" xr:uid="{532D06AC-6995-405A-85FB-A0EA200019AE}"/>
    <cellStyle name="Accent6 12 4 2" xfId="5114" xr:uid="{C14DE50F-15BC-429F-A3C8-E59FC9F004C0}"/>
    <cellStyle name="Accent6 12 4 3" xfId="5115" xr:uid="{03EF8DD0-FDD0-4AA3-89F1-8D0A826D4255}"/>
    <cellStyle name="Accent6 12 5" xfId="5116" xr:uid="{D1E3C5EF-B0F5-44C7-A61D-7EC9CE529185}"/>
    <cellStyle name="Accent6 12 5 2" xfId="5117" xr:uid="{07052439-6358-4310-9FA5-19E1287D907D}"/>
    <cellStyle name="Accent6 12 5 3" xfId="5118" xr:uid="{97EB4B11-05E4-4316-B704-E5499E9FFD65}"/>
    <cellStyle name="Accent6 12 6" xfId="5119" xr:uid="{38C6A290-A9DB-4E27-9161-FB3802C6B8D7}"/>
    <cellStyle name="Accent6 12 6 2" xfId="5120" xr:uid="{C3FFEBAD-2CBE-472D-AD14-57B124485044}"/>
    <cellStyle name="Accent6 12 6 3" xfId="5121" xr:uid="{C82532D9-A118-453D-A287-D2B53B62C8E7}"/>
    <cellStyle name="Accent6 12 7" xfId="5122" xr:uid="{718474BF-6074-4C87-8D43-C5506414BDD1}"/>
    <cellStyle name="Accent6 12 7 2" xfId="5123" xr:uid="{43C9165F-D6CB-4EA2-810F-56FF142BC5FD}"/>
    <cellStyle name="Accent6 12 7 3" xfId="5124" xr:uid="{D14DF092-B6DF-4F5A-B30F-30DAA4C1F2A0}"/>
    <cellStyle name="Accent6 13" xfId="1473" xr:uid="{E68F58BD-8DB2-45DF-B229-1E20E6EB3923}"/>
    <cellStyle name="Accent6 13 2" xfId="5125" xr:uid="{1B4355AE-0F76-4854-93DA-68498467BBCA}"/>
    <cellStyle name="Accent6 13 2 2" xfId="5126" xr:uid="{8759BE7D-21D5-454D-9D25-53D339E80955}"/>
    <cellStyle name="Accent6 13 2 3" xfId="5127" xr:uid="{6FD2B2B8-6113-472C-B026-0F4423F931EC}"/>
    <cellStyle name="Accent6 14" xfId="1474" xr:uid="{6CC94765-6F35-411E-8C3C-BE832E1B09C2}"/>
    <cellStyle name="Accent6 14 2" xfId="5128" xr:uid="{7F7FE4D2-872C-4C16-9C28-86B9B56AD9A2}"/>
    <cellStyle name="Accent6 14 2 2" xfId="5129" xr:uid="{B0F87575-1D94-49C4-84CA-758627363FE7}"/>
    <cellStyle name="Accent6 14 2 3" xfId="5130" xr:uid="{982D2D79-5355-452B-B224-780FEA97C8FD}"/>
    <cellStyle name="Accent6 15" xfId="1475" xr:uid="{50922568-7995-40E7-AD5F-5530454749E4}"/>
    <cellStyle name="Accent6 15 2" xfId="5131" xr:uid="{BDED010E-CE3F-43CD-B6F8-FAECE8F8C01E}"/>
    <cellStyle name="Accent6 15 2 2" xfId="5132" xr:uid="{951C7666-8C6E-43E7-897D-227E4608B2AE}"/>
    <cellStyle name="Accent6 15 2 3" xfId="5133" xr:uid="{785729DB-1E8C-4390-8300-E75CE0F147C5}"/>
    <cellStyle name="Accent6 16" xfId="1476" xr:uid="{9166E4EE-D274-4A1F-ABA3-975D33BEE00E}"/>
    <cellStyle name="Accent6 16 2" xfId="5134" xr:uid="{F8B63F5A-547E-43B5-AE73-856B396E684B}"/>
    <cellStyle name="Accent6 16 2 2" xfId="5135" xr:uid="{308DB089-2B29-4582-90EB-BAD1D928B1FE}"/>
    <cellStyle name="Accent6 16 2 3" xfId="5136" xr:uid="{7D3D9DBC-951C-4F84-AD50-CB0B789EAFA7}"/>
    <cellStyle name="Accent6 17" xfId="1477" xr:uid="{4D4BA7FC-C03A-40E1-95CF-8040E4B19CE4}"/>
    <cellStyle name="Accent6 17 2" xfId="5137" xr:uid="{EB4CB979-0DF6-4924-830C-8DCB17FBFF1F}"/>
    <cellStyle name="Accent6 17 2 2" xfId="5138" xr:uid="{7C5E6171-87F1-47D8-BBE0-C6128841DCC6}"/>
    <cellStyle name="Accent6 17 2 3" xfId="5139" xr:uid="{8BE011C0-4D13-4867-8465-FDAEFD5DF8EC}"/>
    <cellStyle name="Accent6 18" xfId="1478" xr:uid="{2029DBA0-3668-4919-B4F7-F18A8994C497}"/>
    <cellStyle name="Accent6 18 2" xfId="5140" xr:uid="{F28BC7C5-3E18-4B30-84B4-ACF53FD0747C}"/>
    <cellStyle name="Accent6 18 2 2" xfId="5141" xr:uid="{98EA3D91-AE81-44AE-8F82-F519C7014DD9}"/>
    <cellStyle name="Accent6 18 2 3" xfId="5142" xr:uid="{2A18359B-9087-4D10-9B3D-F50A369CEDA1}"/>
    <cellStyle name="Accent6 19" xfId="1479" xr:uid="{A450EE2E-DC6F-48A8-BE3F-F38CE4B64F83}"/>
    <cellStyle name="Accent6 19 2" xfId="5143" xr:uid="{CE3FAADF-2358-409E-A49B-57860AB8A560}"/>
    <cellStyle name="Accent6 19 2 2" xfId="5144" xr:uid="{3EC9BB26-6D1F-4CEC-BDF3-318DA82DFEE9}"/>
    <cellStyle name="Accent6 19 2 3" xfId="5145" xr:uid="{F59DEAAE-649C-4753-AC84-148F0ED4344A}"/>
    <cellStyle name="Accent6 2" xfId="1480" xr:uid="{4426CEF8-2FDF-4A49-8327-C76619CAC60B}"/>
    <cellStyle name="Accent6 2 2" xfId="1481" xr:uid="{63AF3518-F96E-4302-8556-2E987DEC7649}"/>
    <cellStyle name="Accent6 2 2 2" xfId="1482" xr:uid="{0C487F3B-AD79-4863-B6A1-D4DB259E7229}"/>
    <cellStyle name="Accent6 2 2 2 2" xfId="1483" xr:uid="{35359146-CEC5-4C02-ACE1-74CE6AA6314B}"/>
    <cellStyle name="Accent6 2 2 2 3" xfId="1484" xr:uid="{43081CEB-DAC9-498E-87DD-0CFCF5608D51}"/>
    <cellStyle name="Accent6 2 2 2 4" xfId="5147" xr:uid="{68CB63EF-DCD2-4A82-ADC4-6FFF5CD29D6B}"/>
    <cellStyle name="Accent6 2 2 3" xfId="1485" xr:uid="{3927FC6F-090D-49D9-8CF0-B51D023F027D}"/>
    <cellStyle name="Accent6 2 2 3 2" xfId="5148" xr:uid="{A5470138-36A5-4D11-B5B2-13A1BE5A2CF8}"/>
    <cellStyle name="Accent6 2 2 4" xfId="1486" xr:uid="{6562A56F-CA04-4030-B369-E7F386C26114}"/>
    <cellStyle name="Accent6 2 2 5" xfId="5146" xr:uid="{F4D88DD5-33AD-479A-95C9-EAFC34221034}"/>
    <cellStyle name="Accent6 2 2_Calc Data" xfId="5149" xr:uid="{1D8C72B8-F801-466E-A445-830FEC13164C}"/>
    <cellStyle name="Accent6 2 3" xfId="5150" xr:uid="{9E235CF8-EDEB-494A-A484-FA04BAC96C1B}"/>
    <cellStyle name="Accent6 2 3 2" xfId="5151" xr:uid="{D3F68D07-DA2F-49A4-A779-AEB3608B0455}"/>
    <cellStyle name="Accent6 2 3 3" xfId="5152" xr:uid="{93C6A896-45E4-451E-96B4-8AE215264957}"/>
    <cellStyle name="Accent6 2 4" xfId="5153" xr:uid="{CE3D5B2E-DF64-4568-BE3E-EC68E91C5DF8}"/>
    <cellStyle name="Accent6 2 4 2" xfId="5154" xr:uid="{9811172B-2B05-43C0-96E8-77C139BF1C0D}"/>
    <cellStyle name="Accent6 2 4 3" xfId="5155" xr:uid="{CF13611F-7CAB-4032-8D61-3F21D6F904D3}"/>
    <cellStyle name="Accent6 2 5" xfId="5156" xr:uid="{E7DFBB7B-F608-4F10-BD9E-50914DF813A0}"/>
    <cellStyle name="Accent6 2 5 2" xfId="5157" xr:uid="{15F4C1EB-4443-4EE7-AB7E-DA1FFBFBE5FB}"/>
    <cellStyle name="Accent6 2 5 3" xfId="5158" xr:uid="{25BA9509-DA1C-4D99-9703-CDB8F985FED0}"/>
    <cellStyle name="Accent6 2 6" xfId="5159" xr:uid="{F2C3404D-36A5-4428-89F4-5BC87808FE6A}"/>
    <cellStyle name="Accent6 2 6 2" xfId="5160" xr:uid="{AE2CC044-07BA-4E21-A1ED-C3F79A35CCA7}"/>
    <cellStyle name="Accent6 2 6 3" xfId="5161" xr:uid="{0A8CBA2A-04BC-4EAD-99A7-2F9D96AC718A}"/>
    <cellStyle name="Accent6 2 7" xfId="5162" xr:uid="{A309CBC4-29FA-4BE3-BA0F-7D8FD0518848}"/>
    <cellStyle name="Accent6 2 7 2" xfId="5163" xr:uid="{FCEF816F-E40C-48AE-8418-CFACCE2F3DFC}"/>
    <cellStyle name="Accent6 2 7 3" xfId="5164" xr:uid="{A1D26680-1DE9-47E9-9E81-F282E2BE7FCA}"/>
    <cellStyle name="Accent6 20" xfId="1487" xr:uid="{F57E42CE-24A7-4AAD-9CC1-575744D2D218}"/>
    <cellStyle name="Accent6 20 2" xfId="5165" xr:uid="{4849C35A-49F9-47B1-BCDE-79999D4A9DA3}"/>
    <cellStyle name="Accent6 20 2 2" xfId="5166" xr:uid="{A1DA99E3-DD3E-4244-9B4A-C73192A60A3E}"/>
    <cellStyle name="Accent6 20 2 3" xfId="5167" xr:uid="{5B238BE6-9615-451E-9674-9CAC5019C92D}"/>
    <cellStyle name="Accent6 21" xfId="1488" xr:uid="{8F92DB35-3D32-4C4F-B1AD-00A6B8DA2FCC}"/>
    <cellStyle name="Accent6 21 2" xfId="5168" xr:uid="{6C4FFC82-DA05-4AF0-A75B-AAEDB5C2C26A}"/>
    <cellStyle name="Accent6 21 2 2" xfId="5169" xr:uid="{11CFA1C0-3772-46BE-8AB6-A841E4F42041}"/>
    <cellStyle name="Accent6 21 2 3" xfId="5170" xr:uid="{AD3E26A8-8A9E-45AE-A12D-AFE01A4DDEEA}"/>
    <cellStyle name="Accent6 22" xfId="1489" xr:uid="{D30AB53F-65E5-4744-BED0-DBD22602CD7B}"/>
    <cellStyle name="Accent6 23" xfId="1490" xr:uid="{1D76A868-46FE-4B78-8AFF-A6B26B520291}"/>
    <cellStyle name="Accent6 24" xfId="1491" xr:uid="{568500C3-4E0D-4CFD-A461-9CAF4614B65E}"/>
    <cellStyle name="Accent6 25" xfId="1492" xr:uid="{74A6386F-A3F3-4A12-BAAA-3656AC3CD5A0}"/>
    <cellStyle name="Accent6 26" xfId="1493" xr:uid="{5F3A474C-8546-4317-8AB0-76FCBD793767}"/>
    <cellStyle name="Accent6 27" xfId="1494" xr:uid="{5B84A0BE-6759-43F4-899E-5914605B7D39}"/>
    <cellStyle name="Accent6 28" xfId="1495" xr:uid="{775C0585-3CCD-4F23-9F77-C51CA65149CC}"/>
    <cellStyle name="Accent6 29" xfId="1496" xr:uid="{5291A812-09D8-4851-8E7A-F18BFFB4C876}"/>
    <cellStyle name="Accent6 3" xfId="1497" xr:uid="{AC5D993A-6518-4B01-ADC5-59B000B69A26}"/>
    <cellStyle name="Accent6 3 10" xfId="7814" xr:uid="{74E6549A-CADA-4641-B9BB-DBAB5A086FB1}"/>
    <cellStyle name="Accent6 3 2" xfId="1498" xr:uid="{385E49BA-6458-4C5B-86E6-32079E4B3D02}"/>
    <cellStyle name="Accent6 3 2 2" xfId="1499" xr:uid="{3C2B6BAD-8C3A-4300-AAC6-BD5C0D73CE76}"/>
    <cellStyle name="Accent6 3 2 2 2" xfId="5172" xr:uid="{F5880DC9-2001-4357-AD86-79AFF551E207}"/>
    <cellStyle name="Accent6 3 2 3" xfId="1500" xr:uid="{B0E8BD73-D612-4C88-AA4C-EB63511092B8}"/>
    <cellStyle name="Accent6 3 2 3 2" xfId="5173" xr:uid="{4FE615EB-2342-4BFD-B6A8-91E94E21ED40}"/>
    <cellStyle name="Accent6 3 2 4" xfId="5171" xr:uid="{11185F03-0DEE-49C5-BF63-98E953670F02}"/>
    <cellStyle name="Accent6 3 2_Calc Data" xfId="5174" xr:uid="{0ACDB438-BE08-4DE5-87AE-10794F7A2898}"/>
    <cellStyle name="Accent6 3 3" xfId="5175" xr:uid="{207B486F-6BCD-4EE0-9194-018514F0B29F}"/>
    <cellStyle name="Accent6 3 3 2" xfId="5176" xr:uid="{2667EB85-A288-48ED-B64B-37832F574773}"/>
    <cellStyle name="Accent6 3 3 3" xfId="5177" xr:uid="{602FDF82-4077-49D9-A9CF-D1417803BC1D}"/>
    <cellStyle name="Accent6 3 4" xfId="5178" xr:uid="{B40E9C51-74C4-482A-BA7D-FA93A84582E8}"/>
    <cellStyle name="Accent6 3 4 2" xfId="5179" xr:uid="{4B4EEFE6-3603-462C-B4B2-E07DD2C4AD58}"/>
    <cellStyle name="Accent6 3 4 3" xfId="5180" xr:uid="{50BED48A-7233-4AC6-BB6C-E5CD1F8DDF39}"/>
    <cellStyle name="Accent6 3 5" xfId="5181" xr:uid="{E17A4824-F860-4EF9-B758-16BC55735BEE}"/>
    <cellStyle name="Accent6 3 5 2" xfId="5182" xr:uid="{31A0F2B0-D54B-40C1-8E4C-4EDE4B476C33}"/>
    <cellStyle name="Accent6 3 5 3" xfId="5183" xr:uid="{C02FF362-A5EC-4F1C-A041-A12D0C59662D}"/>
    <cellStyle name="Accent6 3 6" xfId="5184" xr:uid="{DF636F72-FE36-43D0-AB02-844B36DAF671}"/>
    <cellStyle name="Accent6 3 6 2" xfId="5185" xr:uid="{E48C339E-FAC8-404C-B560-D3373CC5E975}"/>
    <cellStyle name="Accent6 3 6 3" xfId="5186" xr:uid="{FF34509E-7C9F-47AD-B9EE-3EDC501A881A}"/>
    <cellStyle name="Accent6 3 7" xfId="5187" xr:uid="{1A67EC42-4328-4BB6-8B0C-6ADDFF883BA3}"/>
    <cellStyle name="Accent6 3 7 2" xfId="5188" xr:uid="{667BC786-29C8-43AC-BA4A-58DB00D558B3}"/>
    <cellStyle name="Accent6 3 7 3" xfId="5189" xr:uid="{F752F0E8-85DD-4910-B6FE-56A88F2F19E4}"/>
    <cellStyle name="Accent6 3 8" xfId="3406" xr:uid="{ECB57AF5-4375-4724-9DFA-503BFFB7A03D}"/>
    <cellStyle name="Accent6 3 9" xfId="7748" xr:uid="{070DE0AE-A80A-4FC3-AB07-0E2AD2F34715}"/>
    <cellStyle name="Accent6 30" xfId="1501" xr:uid="{D6EBA80F-BE0D-46DE-9BD4-6424CE987662}"/>
    <cellStyle name="Accent6 31" xfId="1502" xr:uid="{3463DB66-8FB6-4320-B2CF-354112942EDB}"/>
    <cellStyle name="Accent6 32" xfId="1503" xr:uid="{ADC81FC0-4C7C-434D-B188-07E6BDC10553}"/>
    <cellStyle name="Accent6 33" xfId="1504" xr:uid="{B24359C1-75EB-45D0-AF86-1E17E8A2DB72}"/>
    <cellStyle name="Accent6 34" xfId="1505" xr:uid="{35503E39-8B83-4C06-9382-E813FDBDFF96}"/>
    <cellStyle name="Accent6 35" xfId="1506" xr:uid="{D68DECAF-455E-4D68-98C7-A0C11CF5E365}"/>
    <cellStyle name="Accent6 36" xfId="1507" xr:uid="{89E7BE9A-A3EE-4055-B32D-41407B8D5646}"/>
    <cellStyle name="Accent6 37" xfId="1508" xr:uid="{C076A116-32D5-4E14-8E8D-0EC08E07520B}"/>
    <cellStyle name="Accent6 38" xfId="1509" xr:uid="{4483FCEA-628F-4A48-B320-1B057C1F0E0C}"/>
    <cellStyle name="Accent6 4" xfId="1510" xr:uid="{80AD3712-161F-4A01-A9B4-BF584DDA8860}"/>
    <cellStyle name="Accent6 4 2" xfId="1511" xr:uid="{0C109627-6D9A-435D-B93D-DD49B7112A49}"/>
    <cellStyle name="Accent6 4 2 2" xfId="1512" xr:uid="{3FF4B1CC-5115-4849-889C-B0E06D18B586}"/>
    <cellStyle name="Accent6 4 2 2 2" xfId="5192" xr:uid="{2C2985AD-546F-4453-9287-0FAF1DF1730F}"/>
    <cellStyle name="Accent6 4 2 3" xfId="1513" xr:uid="{8CF712B6-8BB5-4A5B-94E5-33FC8797B3EB}"/>
    <cellStyle name="Accent6 4 2 3 2" xfId="5193" xr:uid="{8A5D866C-F1EA-45BB-A229-4B0B12772E18}"/>
    <cellStyle name="Accent6 4 2 4" xfId="5191" xr:uid="{A6B9F681-CA9C-4D8A-8F12-0B827A172BE5}"/>
    <cellStyle name="Accent6 4 2_Calc Data" xfId="5194" xr:uid="{1105C3BA-9BF6-4BF5-B9DA-E008512EF982}"/>
    <cellStyle name="Accent6 4 3" xfId="5195" xr:uid="{87DBBD8C-F15A-432B-B73A-24DA716F96C6}"/>
    <cellStyle name="Accent6 4 3 2" xfId="5196" xr:uid="{3A98806B-13A2-4C00-9995-D3F011388D8F}"/>
    <cellStyle name="Accent6 4 3 3" xfId="5197" xr:uid="{0C7594AC-5047-473F-A9F6-E21CF706E4A4}"/>
    <cellStyle name="Accent6 4 4" xfId="5198" xr:uid="{C715D668-5F27-4EC4-968E-1E98A23D5548}"/>
    <cellStyle name="Accent6 4 4 2" xfId="5199" xr:uid="{4683EB4B-093F-4372-B776-2F6A89A206FB}"/>
    <cellStyle name="Accent6 4 4 3" xfId="5200" xr:uid="{CABEC329-5499-4EDC-9EE0-E9FEA25515AA}"/>
    <cellStyle name="Accent6 4 5" xfId="5201" xr:uid="{CD59001E-1B6E-4AFF-8EE1-EB47B5C1686B}"/>
    <cellStyle name="Accent6 4 5 2" xfId="5202" xr:uid="{DCE08A6E-CE59-49FD-B398-3CEB45FECC5D}"/>
    <cellStyle name="Accent6 4 5 3" xfId="5203" xr:uid="{6F9A6593-1896-49A4-B41B-1BB258D5E452}"/>
    <cellStyle name="Accent6 4 6" xfId="5204" xr:uid="{8C941580-8B07-44F8-9DDC-0CFDD03BC320}"/>
    <cellStyle name="Accent6 4 6 2" xfId="5205" xr:uid="{946DEEB4-D609-42E8-916D-9B93759EE494}"/>
    <cellStyle name="Accent6 4 6 3" xfId="5206" xr:uid="{26B2C18B-BA59-4DA4-8880-4F1DC4B5045D}"/>
    <cellStyle name="Accent6 4 7" xfId="5207" xr:uid="{75795847-DB26-4E60-84A0-B025514E26EF}"/>
    <cellStyle name="Accent6 4 7 2" xfId="5208" xr:uid="{7CBD48C8-AAD4-40C5-9A50-DA53ECE7EAB6}"/>
    <cellStyle name="Accent6 4 7 3" xfId="5209" xr:uid="{B4914A70-3535-48E9-99B3-5F3D50149FA2}"/>
    <cellStyle name="Accent6 4 8" xfId="5190" xr:uid="{439BA928-8464-4792-A1F2-EA5181ABEA47}"/>
    <cellStyle name="Accent6 5" xfId="1514" xr:uid="{58FD6EBA-B80F-4931-AC71-9A2382935886}"/>
    <cellStyle name="Accent6 5 2" xfId="1515" xr:uid="{1303E571-2675-45FC-981E-FE8AB019A6EE}"/>
    <cellStyle name="Accent6 5 2 2" xfId="1516" xr:uid="{8D8FAB9F-3E42-476F-80AA-8943CD1BAB16}"/>
    <cellStyle name="Accent6 5 2 2 2" xfId="5212" xr:uid="{F5534685-49E4-465A-BBF8-03D95391F7A6}"/>
    <cellStyle name="Accent6 5 2 3" xfId="1517" xr:uid="{D2B5A077-4902-46BE-928C-F50B6158EEB1}"/>
    <cellStyle name="Accent6 5 2 3 2" xfId="5213" xr:uid="{C6BB1AA8-ACD9-4FB0-9D57-36AA81B20DF9}"/>
    <cellStyle name="Accent6 5 2 4" xfId="5211" xr:uid="{4D6BC114-1C79-4D70-8B4F-C7CB815BD097}"/>
    <cellStyle name="Accent6 5 2_Calc Data" xfId="5214" xr:uid="{9F42290D-9742-480B-9C4D-EA46CEDA90AB}"/>
    <cellStyle name="Accent6 5 3" xfId="5215" xr:uid="{C48277E4-BEC0-4788-92CF-8AABDE221D00}"/>
    <cellStyle name="Accent6 5 3 2" xfId="5216" xr:uid="{74392732-1F34-400A-977F-E13FB59002F5}"/>
    <cellStyle name="Accent6 5 3 3" xfId="5217" xr:uid="{1BEF0D5C-400B-4ADD-8E41-1EBA09EE84B8}"/>
    <cellStyle name="Accent6 5 4" xfId="5218" xr:uid="{F69F09E5-9240-401D-828A-58928215FAA7}"/>
    <cellStyle name="Accent6 5 4 2" xfId="5219" xr:uid="{B38F2626-F82B-4BA3-B3C9-59F1A26D1AD5}"/>
    <cellStyle name="Accent6 5 4 3" xfId="5220" xr:uid="{7DC04A2D-8A69-4956-8EE4-20B98EA79267}"/>
    <cellStyle name="Accent6 5 5" xfId="5221" xr:uid="{E773FC18-8F12-49BC-B4A0-F6F8DBEDB4D9}"/>
    <cellStyle name="Accent6 5 5 2" xfId="5222" xr:uid="{28298CBE-6A51-4AD1-8B6B-98B01CB3C66E}"/>
    <cellStyle name="Accent6 5 5 3" xfId="5223" xr:uid="{63912E54-2B45-4FEA-83FC-7862564DBA71}"/>
    <cellStyle name="Accent6 5 6" xfId="5224" xr:uid="{F5C2CB7C-DFD0-4300-880C-FB2A63DB4D83}"/>
    <cellStyle name="Accent6 5 6 2" xfId="5225" xr:uid="{D397C96F-ECDC-49E0-BC5A-777C75AE0A92}"/>
    <cellStyle name="Accent6 5 6 3" xfId="5226" xr:uid="{8DC44F43-C705-4DCC-A35F-B83960B1DB49}"/>
    <cellStyle name="Accent6 5 7" xfId="5227" xr:uid="{57F577D9-8CA4-41AA-A782-E7A23EECFADC}"/>
    <cellStyle name="Accent6 5 7 2" xfId="5228" xr:uid="{F7768F1F-B9A6-432E-BB4E-2749A3D1BF05}"/>
    <cellStyle name="Accent6 5 7 3" xfId="5229" xr:uid="{1BEC1859-E753-482F-A6DC-17ECD0C8525C}"/>
    <cellStyle name="Accent6 5 8" xfId="5210" xr:uid="{D5A8F077-C8B0-4F4B-92B8-36D37687DFD7}"/>
    <cellStyle name="Accent6 6" xfId="1518" xr:uid="{B223596F-021A-4BDC-A4B0-35FA651D016C}"/>
    <cellStyle name="Accent6 6 2" xfId="1519" xr:uid="{7B3FC433-B17F-4B85-ACDE-BF9F93B67303}"/>
    <cellStyle name="Accent6 6 2 2" xfId="1520" xr:uid="{46BB4FFE-33A6-4970-BE28-D7B968AC90F0}"/>
    <cellStyle name="Accent6 6 2 2 2" xfId="5231" xr:uid="{4428FF5D-A05C-4841-9485-2C251409CD7C}"/>
    <cellStyle name="Accent6 6 2 3" xfId="1521" xr:uid="{21796117-CD5B-467E-AEF5-A9F4BD4018BC}"/>
    <cellStyle name="Accent6 6 2 3 2" xfId="5232" xr:uid="{B08F8525-5352-48DF-8257-7136B3B14817}"/>
    <cellStyle name="Accent6 6 2 4" xfId="5230" xr:uid="{1C5A5602-5F42-488C-89A6-0B880E33C459}"/>
    <cellStyle name="Accent6 6 3" xfId="5233" xr:uid="{46F100D0-7E69-4F44-BF43-7B25C3A4DB8F}"/>
    <cellStyle name="Accent6 6 3 2" xfId="5234" xr:uid="{5D1C47D5-BB54-49A0-815A-3D99619DD587}"/>
    <cellStyle name="Accent6 6 3 3" xfId="5235" xr:uid="{BC53BF95-76C7-4EB1-AA91-08021B1E0F83}"/>
    <cellStyle name="Accent6 6 4" xfId="5236" xr:uid="{90F74A6D-79CD-4489-BD85-3AB38A14ADC5}"/>
    <cellStyle name="Accent6 6 4 2" xfId="5237" xr:uid="{78F1F407-9AF3-4E31-83D5-6921A309D475}"/>
    <cellStyle name="Accent6 6 4 3" xfId="5238" xr:uid="{4967D1BE-0D6E-4726-9D16-0DA247633944}"/>
    <cellStyle name="Accent6 6 5" xfId="5239" xr:uid="{1B146DC8-EAF3-4BE6-86D0-6E5185A8DB64}"/>
    <cellStyle name="Accent6 6 5 2" xfId="5240" xr:uid="{35E3709D-DAC3-4E0A-9E2D-502E8D780715}"/>
    <cellStyle name="Accent6 6 5 3" xfId="5241" xr:uid="{91DB692D-0C7D-49D3-9ED5-0DF7FFF14D37}"/>
    <cellStyle name="Accent6 6 6" xfId="5242" xr:uid="{005BE311-29A4-46F4-82C4-C5A24155FD6C}"/>
    <cellStyle name="Accent6 6 6 2" xfId="5243" xr:uid="{6673964B-8087-4A7B-B397-FCEA727B3BB2}"/>
    <cellStyle name="Accent6 6 6 3" xfId="5244" xr:uid="{47C69CA2-E9B6-4CBE-9B99-F41489FA8B68}"/>
    <cellStyle name="Accent6 6 7" xfId="5245" xr:uid="{28C7BC0F-C1FE-4A36-953D-DFAC93F316AB}"/>
    <cellStyle name="Accent6 6 7 2" xfId="5246" xr:uid="{FC13F4CF-6BF1-402E-A3AC-ECDBA4E2B6AD}"/>
    <cellStyle name="Accent6 6 7 3" xfId="5247" xr:uid="{AC93C859-84B3-48C8-A155-2A8032587C78}"/>
    <cellStyle name="Accent6 7" xfId="1522" xr:uid="{67EF2CF6-97FE-4296-AC82-834811212518}"/>
    <cellStyle name="Accent6 7 2" xfId="1523" xr:uid="{D4CF2C7B-CF6B-4661-9C6A-2D0EB317A604}"/>
    <cellStyle name="Accent6 7 2 2" xfId="1524" xr:uid="{F44A56FD-0626-4BC8-8E37-B5AE8346EC43}"/>
    <cellStyle name="Accent6 7 2 2 2" xfId="5249" xr:uid="{E26D4BE6-1956-4745-A0A4-2FEF254BA879}"/>
    <cellStyle name="Accent6 7 2 3" xfId="1525" xr:uid="{A4C4B895-70B1-4940-860C-B43B035F4AEA}"/>
    <cellStyle name="Accent6 7 2 3 2" xfId="5250" xr:uid="{3133EF6C-803C-43B7-B73D-81C8D42058E8}"/>
    <cellStyle name="Accent6 7 2 4" xfId="5248" xr:uid="{4D071C4C-4E90-4EBA-A6DF-7A5967ACCB62}"/>
    <cellStyle name="Accent6 7 3" xfId="5251" xr:uid="{3B61790B-B06A-4E5F-9E83-28BAD903C9A4}"/>
    <cellStyle name="Accent6 7 3 2" xfId="5252" xr:uid="{28730CF2-6241-4065-B97A-143C3FED87A5}"/>
    <cellStyle name="Accent6 7 3 3" xfId="5253" xr:uid="{F4B1ED97-CAC7-42D2-9CE9-143E23101D42}"/>
    <cellStyle name="Accent6 7 4" xfId="5254" xr:uid="{F4578DFB-9FF7-4EE9-B2E8-69794925B9CE}"/>
    <cellStyle name="Accent6 7 4 2" xfId="5255" xr:uid="{16C9F212-405B-44C0-A6BF-F3FE515FC9E5}"/>
    <cellStyle name="Accent6 7 4 3" xfId="5256" xr:uid="{3E060747-E849-4073-8F9F-5F948814235B}"/>
    <cellStyle name="Accent6 7 5" xfId="5257" xr:uid="{AAC20FFF-EA99-4E25-8014-821B5BF8B6B6}"/>
    <cellStyle name="Accent6 7 5 2" xfId="5258" xr:uid="{7D073850-55BC-448A-9F31-497A9D31CEE8}"/>
    <cellStyle name="Accent6 7 5 3" xfId="5259" xr:uid="{F687145E-8E29-4A61-BDBD-57B47AB32E63}"/>
    <cellStyle name="Accent6 7 6" xfId="5260" xr:uid="{68053E87-2974-426A-9346-41509286F09D}"/>
    <cellStyle name="Accent6 7 6 2" xfId="5261" xr:uid="{421D1CDE-9E48-4EB8-B9CB-D35B63CEB39E}"/>
    <cellStyle name="Accent6 7 6 3" xfId="5262" xr:uid="{0269A016-1C0D-4F13-98E4-B7E20EA371BE}"/>
    <cellStyle name="Accent6 7 7" xfId="5263" xr:uid="{AA7F19B4-277F-419C-B3E8-E74834390885}"/>
    <cellStyle name="Accent6 7 7 2" xfId="5264" xr:uid="{929AEB7B-F224-4BA4-A3DF-7499730B285A}"/>
    <cellStyle name="Accent6 7 7 3" xfId="5265" xr:uid="{780068F6-02BD-41E0-8F15-C55330C170DD}"/>
    <cellStyle name="Accent6 8" xfId="1526" xr:uid="{416A93F8-F5FD-402B-8219-9728416C3CC5}"/>
    <cellStyle name="Accent6 8 2" xfId="1527" xr:uid="{7237F898-7035-41B3-8353-8F4768BB37E1}"/>
    <cellStyle name="Accent6 8 2 2" xfId="1528" xr:uid="{AC57CC0B-FB8E-4182-A4E5-A2DBF5FB8551}"/>
    <cellStyle name="Accent6 8 2 2 2" xfId="5267" xr:uid="{BD5CAB52-5F0C-4F0B-B733-01F52460CA53}"/>
    <cellStyle name="Accent6 8 2 3" xfId="1529" xr:uid="{D789EAB7-F82B-4F0A-9C64-083D646BA761}"/>
    <cellStyle name="Accent6 8 2 3 2" xfId="5268" xr:uid="{F416C2AF-3475-4B82-A910-81AA4E031488}"/>
    <cellStyle name="Accent6 8 2 4" xfId="5266" xr:uid="{18909A2A-2B66-4C32-930C-189700B40E4A}"/>
    <cellStyle name="Accent6 8 3" xfId="5269" xr:uid="{0EEBED57-04E8-4985-8A18-F8FD8848D346}"/>
    <cellStyle name="Accent6 8 3 2" xfId="5270" xr:uid="{838536CA-DED3-4C8D-85AD-8F88637948E1}"/>
    <cellStyle name="Accent6 8 3 3" xfId="5271" xr:uid="{305D6D3F-9224-4230-AF03-B2D00A3020C4}"/>
    <cellStyle name="Accent6 8 4" xfId="5272" xr:uid="{6AD7C4FB-C497-498E-ADE9-2E3DA5602DFD}"/>
    <cellStyle name="Accent6 8 4 2" xfId="5273" xr:uid="{0ED721B8-7734-4EC5-8275-B702DB9C0579}"/>
    <cellStyle name="Accent6 8 4 3" xfId="5274" xr:uid="{E7A731A7-D7AF-4FDA-9EEF-C83CF5E1EFC5}"/>
    <cellStyle name="Accent6 8 5" xfId="5275" xr:uid="{E102CEAB-534C-4894-AB04-6EA96879841F}"/>
    <cellStyle name="Accent6 8 5 2" xfId="5276" xr:uid="{E3D37368-87EA-48B1-B5C6-01A76A30678D}"/>
    <cellStyle name="Accent6 8 5 3" xfId="5277" xr:uid="{1CBBBA5A-3068-4B24-8F47-2A5242280A58}"/>
    <cellStyle name="Accent6 8 6" xfId="5278" xr:uid="{38FCAAF0-C2E0-4977-A37D-A8F232FC535D}"/>
    <cellStyle name="Accent6 8 6 2" xfId="5279" xr:uid="{C74A806A-25CD-4351-82D8-76215A39AD94}"/>
    <cellStyle name="Accent6 8 6 3" xfId="5280" xr:uid="{10CCAF8A-125C-4A36-ADF4-B7B58D9056A7}"/>
    <cellStyle name="Accent6 8 7" xfId="5281" xr:uid="{78E026BA-15FD-4446-B08B-08F2019504ED}"/>
    <cellStyle name="Accent6 8 7 2" xfId="5282" xr:uid="{D993D841-FBF2-4BF5-8DA6-5D2F14F09C1D}"/>
    <cellStyle name="Accent6 8 7 3" xfId="5283" xr:uid="{960F9E03-32CC-43CC-BB33-F2E3D337F500}"/>
    <cellStyle name="Accent6 9" xfId="1530" xr:uid="{70603CF1-FDB7-44AC-81EE-2AD6B72E98BA}"/>
    <cellStyle name="Accent6 9 2" xfId="1531" xr:uid="{5DC45081-B932-4FAD-A2BB-7DE4C23E9ACC}"/>
    <cellStyle name="Accent6 9 2 2" xfId="1532" xr:uid="{689B3168-1B3E-4015-A36B-4709A1251D96}"/>
    <cellStyle name="Accent6 9 2 2 2" xfId="5285" xr:uid="{974F1CF8-F764-47A6-BC39-5F5A97A15E23}"/>
    <cellStyle name="Accent6 9 2 3" xfId="1533" xr:uid="{E2B24540-CFDA-4C96-AE24-88DEB1AB0B7F}"/>
    <cellStyle name="Accent6 9 2 3 2" xfId="5286" xr:uid="{9DB520B8-D4B3-49B2-8893-78585E46B10C}"/>
    <cellStyle name="Accent6 9 2 4" xfId="5284" xr:uid="{18E10B83-E94A-49DE-841F-F2AD0986886D}"/>
    <cellStyle name="Accent6 9 3" xfId="5287" xr:uid="{EA8ABCB2-6953-49FC-8614-13B6BF03381E}"/>
    <cellStyle name="Accent6 9 3 2" xfId="5288" xr:uid="{B6944F63-BF8E-48FA-98F5-07C6DC71CB2E}"/>
    <cellStyle name="Accent6 9 3 3" xfId="5289" xr:uid="{21B4CEB2-8E56-428D-9D75-C5D970BE34B6}"/>
    <cellStyle name="Accent6 9 4" xfId="5290" xr:uid="{95AAAB3A-E16A-40CC-A360-3D8514B8F467}"/>
    <cellStyle name="Accent6 9 4 2" xfId="5291" xr:uid="{908845AE-1CF7-4318-8ECC-AC8BCD1C5385}"/>
    <cellStyle name="Accent6 9 4 3" xfId="5292" xr:uid="{3DA3D06F-7A25-493D-93D0-482BEF07FE66}"/>
    <cellStyle name="Accent6 9 5" xfId="5293" xr:uid="{99D8356F-7973-4CF6-A385-3D3DB584BD37}"/>
    <cellStyle name="Accent6 9 5 2" xfId="5294" xr:uid="{AD777811-758A-4851-A053-1F891676ABAA}"/>
    <cellStyle name="Accent6 9 5 3" xfId="5295" xr:uid="{41747D4A-9726-49B5-AD8A-6FC82D16E524}"/>
    <cellStyle name="Accent6 9 6" xfId="5296" xr:uid="{797C69FA-0C34-4C73-81D0-4DF1E73267E7}"/>
    <cellStyle name="Accent6 9 6 2" xfId="5297" xr:uid="{189CA93B-E7B6-485B-92C9-273AA299CC76}"/>
    <cellStyle name="Accent6 9 6 3" xfId="5298" xr:uid="{5ADA652D-DB03-4B53-ACF2-9BA295561739}"/>
    <cellStyle name="Accent6 9 7" xfId="5299" xr:uid="{97EFBD58-D300-4440-BE2B-DAF0302D8047}"/>
    <cellStyle name="Accent6 9 7 2" xfId="5300" xr:uid="{49B2F48A-90AB-431C-9B01-85DBD1349907}"/>
    <cellStyle name="Accent6 9 7 3" xfId="5301" xr:uid="{CC24D0FA-F6F5-456D-9B5C-6FF22AA8CBD1}"/>
    <cellStyle name="Acctg" xfId="5302" xr:uid="{174392B0-56BA-41BF-B8E1-8F6096B94DE8}"/>
    <cellStyle name="Actual data" xfId="1534" xr:uid="{711EEE8C-1D78-44A9-B3A6-8B0FD4E14C74}"/>
    <cellStyle name="Actual data 2" xfId="5303" xr:uid="{DC9B79FE-BF14-4D92-AEF1-E3C11CE0E681}"/>
    <cellStyle name="Actual year" xfId="1535" xr:uid="{55A9F09B-27AB-49C3-B882-7C20623F124B}"/>
    <cellStyle name="Actual year 2" xfId="5304" xr:uid="{48192F1F-0DFD-42B9-A9F1-C8CC6EA231BE}"/>
    <cellStyle name="Actual year 2 2" xfId="7803" xr:uid="{2BB308FC-C927-4733-AF7D-85F234D826A1}"/>
    <cellStyle name="Actual year 3" xfId="7562" xr:uid="{88455AB5-72F1-4D06-8A56-05657944C1C9}"/>
    <cellStyle name="Actuals Cells" xfId="1536" xr:uid="{30F2DCB6-52FE-417D-B791-717178DB6D00}"/>
    <cellStyle name="Actuals Cells 2" xfId="5305" xr:uid="{7982B829-400C-47D4-ABF8-F481D24B9294}"/>
    <cellStyle name="Actuals Cells 3" xfId="5306" xr:uid="{F2509897-DF6C-4F15-8851-E011D5B6AA03}"/>
    <cellStyle name="Actuals Cells 4" xfId="5307" xr:uid="{2C7C4A34-2257-40BC-A3F2-B49CCA5B3540}"/>
    <cellStyle name="Actuals Cells 5" xfId="5308" xr:uid="{65057D3C-F52E-4474-AEEC-8117831E81FD}"/>
    <cellStyle name="Actuals Cells 6" xfId="5309" xr:uid="{9E601028-5E55-4231-BF05-25E4EF7B1B8D}"/>
    <cellStyle name="AFE" xfId="3310" xr:uid="{743D5D0E-56CC-492E-B494-50ADFA04F03C}"/>
    <cellStyle name="AFE 2" xfId="3391" xr:uid="{D0C38272-DD79-4F81-BC8A-C928B65A18F4}"/>
    <cellStyle name="AFE 3" xfId="5310" xr:uid="{7680E528-1108-47E8-965F-6AB15E70AA26}"/>
    <cellStyle name="AFE 4" xfId="5311" xr:uid="{61252B4B-EBF8-41F0-B854-0EEFB35EEF21}"/>
    <cellStyle name="AFE 5" xfId="5312" xr:uid="{CE9A55B6-1698-492F-82D7-C40D33AB24B8}"/>
    <cellStyle name="AFE 6" xfId="5313" xr:uid="{3F37ECAA-D602-433B-BE7C-2EB92DAF8F21}"/>
    <cellStyle name="Akcent 1 2" xfId="3278" xr:uid="{ABE7E4A3-4649-47C8-8181-35B8B6B86C92}"/>
    <cellStyle name="Akcent 2 2" xfId="3282" xr:uid="{6E1B3B1C-4042-479B-A834-9F9877C6FB2B}"/>
    <cellStyle name="Akcent 3 2" xfId="3286" xr:uid="{4AA20BD7-DB56-479D-8952-6B1E2EBA8277}"/>
    <cellStyle name="Akcent 4 2" xfId="3290" xr:uid="{74B6AFD1-84E8-4F90-8EAA-AE32E9E2E321}"/>
    <cellStyle name="Akcent 5 2" xfId="3294" xr:uid="{BEE1CB31-0BB9-4194-8C58-C225EE5DECDC}"/>
    <cellStyle name="Akcent 6 2" xfId="3298" xr:uid="{88CDFBDF-C961-4709-A132-2ABB37261960}"/>
    <cellStyle name="Andre's Title" xfId="3311" xr:uid="{C2EB564E-2312-4005-A443-EAFD16BCB1EA}"/>
    <cellStyle name="args.style" xfId="5314" xr:uid="{E463C7E4-FF27-4EBF-8E5B-244F7923534F}"/>
    <cellStyle name="args.style 2" xfId="5315" xr:uid="{33DEC6F5-D3B1-44AF-9407-06CF174FC61D}"/>
    <cellStyle name="ÄÞ¸¶ [0]_´Ü°èº° ±¸Ãà¾È" xfId="5316" xr:uid="{259C4E2B-368F-41E9-ABF9-1A8B5FFD0F57}"/>
    <cellStyle name="ÄÞ¸¶_´Ü°èº° ±¸Ãà¾È" xfId="5317" xr:uid="{727FE3BF-B967-481C-A590-AE3102D52EA2}"/>
    <cellStyle name="B Table" xfId="5318" xr:uid="{8CBCAC50-1549-4DE2-AEA2-CE3C4D220C0B}"/>
    <cellStyle name="Bad 10" xfId="1537" xr:uid="{D4E767F9-312C-4273-9133-B7EB97412B67}"/>
    <cellStyle name="Bad 10 2" xfId="1538" xr:uid="{2C4B90D2-9BC5-4747-AD44-2CB3877357F2}"/>
    <cellStyle name="Bad 10 2 2" xfId="5319" xr:uid="{0CC69F51-F485-4B8E-8E76-886D06E8E717}"/>
    <cellStyle name="Bad 10 3" xfId="5320" xr:uid="{CF4354B2-7B82-40E5-85B5-F61086205DF1}"/>
    <cellStyle name="Bad 10 4" xfId="5321" xr:uid="{369E4712-4BCE-47E5-BC33-FB26403A3BBB}"/>
    <cellStyle name="Bad 10 5" xfId="5322" xr:uid="{9844317A-D5A9-437C-9114-770002A7DA8D}"/>
    <cellStyle name="Bad 10 6" xfId="5323" xr:uid="{0ABDA5E4-1E35-4EDC-9214-25F57B4DDACA}"/>
    <cellStyle name="Bad 10 7" xfId="5324" xr:uid="{71B1278C-68F3-46E2-BA5E-5A16B6858F4C}"/>
    <cellStyle name="Bad 11" xfId="1539" xr:uid="{CCEA9797-6077-4112-AD33-32435BF423C3}"/>
    <cellStyle name="Bad 11 2" xfId="1540" xr:uid="{6976A655-9334-4908-AC42-72CF28E61783}"/>
    <cellStyle name="Bad 11 2 2" xfId="5325" xr:uid="{9020E0BB-72C0-420E-808D-8B6D0F164C57}"/>
    <cellStyle name="Bad 11 3" xfId="5326" xr:uid="{61A3692F-CEE0-4B56-A00A-5B89448F67D2}"/>
    <cellStyle name="Bad 11 4" xfId="5327" xr:uid="{E53183E1-AADB-4730-AECC-3D42C2FA7493}"/>
    <cellStyle name="Bad 11 5" xfId="5328" xr:uid="{21B06DC3-3BE2-4D7C-AC99-52E9E095A8F3}"/>
    <cellStyle name="Bad 11 6" xfId="5329" xr:uid="{027B50BE-F55B-4C5D-BC8B-0D095FF9E1DB}"/>
    <cellStyle name="Bad 11 7" xfId="5330" xr:uid="{E07DC01C-ADE3-4F86-8CFA-3AE34186C179}"/>
    <cellStyle name="Bad 12" xfId="1541" xr:uid="{BD0E4491-158E-4211-B7BB-B8F2D7A3AD4C}"/>
    <cellStyle name="Bad 12 2" xfId="1542" xr:uid="{1DD6E4E2-6B08-413E-BF7D-64F9EC8967EF}"/>
    <cellStyle name="Bad 12 2 2" xfId="5331" xr:uid="{46341308-1A93-4C7B-9044-0508D2F66957}"/>
    <cellStyle name="Bad 12 3" xfId="5332" xr:uid="{2AC8AE7D-A13D-4F5E-89A5-EF8C81D8E738}"/>
    <cellStyle name="Bad 12 4" xfId="5333" xr:uid="{C483E3B1-F083-4345-AAB6-36A3BC9DDFF0}"/>
    <cellStyle name="Bad 12 5" xfId="5334" xr:uid="{3A27EA49-39CB-43A7-B332-32021C5616CF}"/>
    <cellStyle name="Bad 12 6" xfId="5335" xr:uid="{1F38D61B-BC98-4302-ACE1-E5950A881FB8}"/>
    <cellStyle name="Bad 12 7" xfId="5336" xr:uid="{A4E82F89-E310-4CB3-85D8-8192EAEB763A}"/>
    <cellStyle name="Bad 13" xfId="1543" xr:uid="{37FC5DBF-3F4B-4622-BBC9-CA0B29440645}"/>
    <cellStyle name="Bad 13 2" xfId="5337" xr:uid="{824D2128-EE65-46F2-BBCD-587EBD82258E}"/>
    <cellStyle name="Bad 14 2" xfId="5338" xr:uid="{2BF0C682-7BC9-49B5-A30C-4E251C0E1336}"/>
    <cellStyle name="Bad 15 2" xfId="5339" xr:uid="{F8642951-C6BE-4859-BD12-61FC3150939B}"/>
    <cellStyle name="Bad 16 2" xfId="5340" xr:uid="{2704149B-FC30-4490-85A7-580958025086}"/>
    <cellStyle name="Bad 17 2" xfId="5341" xr:uid="{138D6B5E-B69F-4BE7-BEC5-D76CFD8D53AE}"/>
    <cellStyle name="Bad 18 2" xfId="5342" xr:uid="{05C91CD6-2760-4861-90AF-53765213F3D6}"/>
    <cellStyle name="Bad 19 2" xfId="5343" xr:uid="{55B5F0E6-DE08-49B7-91A3-9B6F809618FD}"/>
    <cellStyle name="Bad 2" xfId="1544" xr:uid="{992B2995-F8DD-4AEF-B003-7B378926F36D}"/>
    <cellStyle name="Bad 2 2" xfId="1545" xr:uid="{6862C3CF-69B3-46B9-A13E-E4B85989F03A}"/>
    <cellStyle name="Bad 2 2 2" xfId="1546" xr:uid="{FA1AE423-C80F-492B-97E9-5B11C52CAD6E}"/>
    <cellStyle name="Bad 2 2 3" xfId="5344" xr:uid="{01E5EBAA-E271-49DB-9A3B-FAB45CE86DFE}"/>
    <cellStyle name="Bad 2 3" xfId="1547" xr:uid="{9BC62971-51B5-4FD1-A336-740B4341E2F4}"/>
    <cellStyle name="Bad 2 3 2" xfId="5345" xr:uid="{78F0099F-6E94-48CC-9284-0223C41CAFB9}"/>
    <cellStyle name="Bad 2 4" xfId="5346" xr:uid="{ED0B796B-07C4-42EB-AFB8-7A0CBAD65A34}"/>
    <cellStyle name="Bad 2 5" xfId="5347" xr:uid="{AEC8F6C5-C779-4226-A6F3-1493F2622927}"/>
    <cellStyle name="Bad 2 6" xfId="5348" xr:uid="{AB318BC0-8883-436F-AA13-8F63F1D514D9}"/>
    <cellStyle name="Bad 2 7" xfId="5349" xr:uid="{FCF64B2E-A7D9-4072-B125-361DE8C48086}"/>
    <cellStyle name="Bad 2 8" xfId="3427" xr:uid="{90673F64-AB04-48A2-B649-BC0D403B5B5A}"/>
    <cellStyle name="Bad 20 2" xfId="5350" xr:uid="{A0B649AA-0FF9-4E79-8E68-C47B1A004ACF}"/>
    <cellStyle name="Bad 21 2" xfId="5351" xr:uid="{86C37070-DC1B-4B94-A62D-3E20A011F822}"/>
    <cellStyle name="Bad 3" xfId="1548" xr:uid="{9CEC30F7-10EE-4BBE-9D9F-444554665A92}"/>
    <cellStyle name="Bad 3 2" xfId="1549" xr:uid="{0E240FE3-EA13-4C4A-8281-BD13D30265EF}"/>
    <cellStyle name="Bad 3 2 2" xfId="5352" xr:uid="{4EC9E64F-CF02-4441-BE53-AC6CFCA198B7}"/>
    <cellStyle name="Bad 3 3" xfId="5353" xr:uid="{0A25D067-7D97-4889-AD21-F3DC86DC0982}"/>
    <cellStyle name="Bad 3 4" xfId="5354" xr:uid="{E35B656D-BF69-494D-84A9-A8A4268D5A0E}"/>
    <cellStyle name="Bad 3 5" xfId="5355" xr:uid="{BC212F3A-C3A5-4C63-8327-894D2D2EC3AA}"/>
    <cellStyle name="Bad 3 6" xfId="5356" xr:uid="{F2318222-B670-44D8-A820-E8C57E3C3681}"/>
    <cellStyle name="Bad 3 7" xfId="5357" xr:uid="{354EB4D0-5681-4D5A-A48D-C9A9F41CCC33}"/>
    <cellStyle name="Bad 4" xfId="1550" xr:uid="{2CE21F3C-3D42-45E9-A6B0-CA2FF9083D7F}"/>
    <cellStyle name="Bad 4 2" xfId="1551" xr:uid="{6AE1FD30-960F-4730-8945-23B11C59A7A2}"/>
    <cellStyle name="Bad 4 2 2" xfId="5359" xr:uid="{EE1DADF7-D874-4EF1-A230-3BBA670345F9}"/>
    <cellStyle name="Bad 4 3" xfId="5360" xr:uid="{81B0B087-C918-41E4-A645-510689510464}"/>
    <cellStyle name="Bad 4 4" xfId="5361" xr:uid="{03D33C4C-A2EB-4167-860B-57D6D2827ECD}"/>
    <cellStyle name="Bad 4 5" xfId="5362" xr:uid="{2E7EFFD2-6FFB-436D-A0BD-EF2D14369901}"/>
    <cellStyle name="Bad 4 6" xfId="5363" xr:uid="{B290B569-3EC6-47EA-AE7A-3FE64548B83E}"/>
    <cellStyle name="Bad 4 7" xfId="5364" xr:uid="{A23AC54A-A1F5-463E-8376-4C8249559E04}"/>
    <cellStyle name="Bad 4 8" xfId="5358" xr:uid="{EA73B005-7427-48A4-B55E-BF934B2392F3}"/>
    <cellStyle name="Bad 5" xfId="1552" xr:uid="{8890D69D-9328-4C32-9B9C-A135F69DBF74}"/>
    <cellStyle name="Bad 5 2" xfId="1553" xr:uid="{6C29EB22-58DF-41E3-8FEC-AC604C28BDFF}"/>
    <cellStyle name="Bad 5 2 2" xfId="5366" xr:uid="{B2985EB0-B272-49B3-A0BB-19BC1EAD5DFA}"/>
    <cellStyle name="Bad 5 3" xfId="5367" xr:uid="{7291659F-3FE6-48F6-922F-E72120A9E080}"/>
    <cellStyle name="Bad 5 4" xfId="5368" xr:uid="{54098845-8BAD-4E68-8E28-8B25487E9449}"/>
    <cellStyle name="Bad 5 5" xfId="5369" xr:uid="{679461DE-6072-4FA9-AA9C-5328AB39AD64}"/>
    <cellStyle name="Bad 5 6" xfId="5370" xr:uid="{91955A5D-DD14-41AB-92C7-21979D1C3F4E}"/>
    <cellStyle name="Bad 5 7" xfId="5371" xr:uid="{369F0ABF-0FA1-4616-902F-CA5F01830982}"/>
    <cellStyle name="Bad 5 8" xfId="5365" xr:uid="{9932F8FE-DF90-4A48-B726-08102F6FCEDA}"/>
    <cellStyle name="Bad 6" xfId="1554" xr:uid="{30F14473-E021-4111-ADF2-901F3A7976CD}"/>
    <cellStyle name="Bad 6 2" xfId="1555" xr:uid="{34CD3EB9-9D7C-4378-8801-FB6E6894649C}"/>
    <cellStyle name="Bad 6 2 2" xfId="5372" xr:uid="{342635C2-130A-4F28-A15E-5BC51AE85809}"/>
    <cellStyle name="Bad 6 3" xfId="5373" xr:uid="{E435BBB7-A49E-4C30-8F6C-0D8A2A30976C}"/>
    <cellStyle name="Bad 6 4" xfId="5374" xr:uid="{BA423358-E442-444F-9774-6C489E02B435}"/>
    <cellStyle name="Bad 6 5" xfId="5375" xr:uid="{51A9A3F2-39DF-4BA3-ADE0-38C8D1E5E3B8}"/>
    <cellStyle name="Bad 6 6" xfId="5376" xr:uid="{3E1A1C5A-2637-4C2D-9D21-9DCAF8EB0BD1}"/>
    <cellStyle name="Bad 6 7" xfId="5377" xr:uid="{A0678CD2-F364-496F-8C83-CB03B444F6A2}"/>
    <cellStyle name="Bad 7" xfId="1556" xr:uid="{EDB7DFA5-458A-4972-9384-03ED6D417035}"/>
    <cellStyle name="Bad 7 2" xfId="1557" xr:uid="{6067BC9D-844A-4E86-8C8C-0E8E2E95CF4C}"/>
    <cellStyle name="Bad 7 2 2" xfId="5378" xr:uid="{08D97C67-75F3-43B1-89D7-957EAB80CAA6}"/>
    <cellStyle name="Bad 7 3" xfId="5379" xr:uid="{6DF3297D-6A1F-496F-98FB-BCF53C8D5719}"/>
    <cellStyle name="Bad 7 4" xfId="5380" xr:uid="{B005CE18-33B0-412A-B82D-9D2E2CF14CBC}"/>
    <cellStyle name="Bad 7 5" xfId="5381" xr:uid="{9CF54E71-EAFE-44C6-BAB0-8B47D47E5655}"/>
    <cellStyle name="Bad 7 6" xfId="5382" xr:uid="{8D9DA63F-8F89-466B-AE8A-84843A58B674}"/>
    <cellStyle name="Bad 7 7" xfId="5383" xr:uid="{6768898B-3FA8-49E4-95AA-0A12EBBFD973}"/>
    <cellStyle name="Bad 8" xfId="1558" xr:uid="{EA2E1168-1D0B-4EE9-A977-D5FF8C443071}"/>
    <cellStyle name="Bad 8 2" xfId="1559" xr:uid="{9AA6C5A5-C29F-48B7-810A-AAB81AF3E373}"/>
    <cellStyle name="Bad 8 2 2" xfId="5384" xr:uid="{DC973E14-934E-411D-BBA3-D7591D779568}"/>
    <cellStyle name="Bad 8 3" xfId="5385" xr:uid="{5751C2E0-EE74-4780-9A91-641978999FBC}"/>
    <cellStyle name="Bad 8 4" xfId="5386" xr:uid="{B2B7FE6C-BB9B-421D-85C6-F7CF4DDBB88F}"/>
    <cellStyle name="Bad 8 5" xfId="5387" xr:uid="{D3F73BB6-D434-4520-8BED-5EC3956F097C}"/>
    <cellStyle name="Bad 8 6" xfId="5388" xr:uid="{2E0D3C83-C1A1-4869-A28F-6548DA22445D}"/>
    <cellStyle name="Bad 8 7" xfId="5389" xr:uid="{42FA1C58-EB79-4244-989B-50FA4FD06391}"/>
    <cellStyle name="Bad 9" xfId="1560" xr:uid="{3D799F2A-C9B2-424D-B6D8-6BD7502A14B5}"/>
    <cellStyle name="Bad 9 2" xfId="1561" xr:uid="{5ACE29F1-BE1D-406B-99A9-18D1AE67F138}"/>
    <cellStyle name="Bad 9 2 2" xfId="5390" xr:uid="{917CEF1D-4535-45AF-B87E-9F8A64AD23B7}"/>
    <cellStyle name="Bad 9 3" xfId="5391" xr:uid="{6D1D65BA-9113-4B38-A03B-BC3F8AE27C65}"/>
    <cellStyle name="Bad 9 4" xfId="5392" xr:uid="{7EDB425D-0C55-4AAA-92F2-7F8F0BE31666}"/>
    <cellStyle name="Bad 9 5" xfId="5393" xr:uid="{5DA4D487-1741-4955-BF48-6A1D41E51A96}"/>
    <cellStyle name="Bad 9 6" xfId="5394" xr:uid="{6A58272A-3A23-41AC-9359-46BDD877F505}"/>
    <cellStyle name="Bad 9 7" xfId="5395" xr:uid="{157E9F0A-DABA-467D-97D4-19A1FDE7585A}"/>
    <cellStyle name="Band 2" xfId="5396" xr:uid="{14DB5E38-D3A7-4C1C-A1E3-0DA4DC1CB103}"/>
    <cellStyle name="Band 2 2" xfId="7804" xr:uid="{2B99C359-58C7-402D-B844-0BC363B1CC1A}"/>
    <cellStyle name="black" xfId="3312" xr:uid="{5F56CF89-6150-4B6C-B2BF-B18BFD38FC6E}"/>
    <cellStyle name="blank" xfId="1562" xr:uid="{AEDDEBD2-7DF9-45F8-8A37-C0F964C308AA}"/>
    <cellStyle name="Blank 2" xfId="5397" xr:uid="{94EC18C3-F106-4F2B-BAA7-5146BDC88E4C}"/>
    <cellStyle name="blp_column_header" xfId="3305" xr:uid="{B42E7B61-DD0C-47A5-8879-734D4CAA3456}"/>
    <cellStyle name="Blue" xfId="1563" xr:uid="{FC43AC1E-40EA-4458-94E9-92D996CFDB84}"/>
    <cellStyle name="Body_InputCellText" xfId="5398" xr:uid="{B222968A-A7E3-4DDB-9727-D31CF1383CC5}"/>
    <cellStyle name="Bold/Border" xfId="5399" xr:uid="{7DD19493-E351-4147-B1B0-246578DE6A73}"/>
    <cellStyle name="Bold/Border 2" xfId="7805" xr:uid="{68FB12E1-47ED-4F70-9EE7-5DC1DE83E48F}"/>
    <cellStyle name="Bold/Border 2 2" xfId="8050" xr:uid="{3267E9C4-9999-491D-9ADF-7171EBD7BF55}"/>
    <cellStyle name="Bold/Border 2 3" xfId="7896" xr:uid="{C2AA50BC-A106-421B-A439-3D15BC9F05D0}"/>
    <cellStyle name="Bold/Border 2 4" xfId="8082" xr:uid="{DE4AD228-66C8-4767-B57E-6DC0A8209E41}"/>
    <cellStyle name="Bold/Border 2 5" xfId="8113" xr:uid="{55E47E32-1A9C-4CA7-B7D8-A87BD2802462}"/>
    <cellStyle name="Bold/Border 2 6" xfId="8140" xr:uid="{082DABEB-2B3F-4CA5-A8C3-FDED512E98D5}"/>
    <cellStyle name="Bold/Border 2 7" xfId="8170" xr:uid="{CFA970E2-EF5D-4111-BDD2-8E981EA2C169}"/>
    <cellStyle name="Bold/Border 2 8" xfId="8200" xr:uid="{85C38C06-682F-4F51-9CC2-BF7D9657217A}"/>
    <cellStyle name="Bold/Border 3" xfId="7987" xr:uid="{13412A17-A9AC-4C2C-A7AA-1995E9A7E59B}"/>
    <cellStyle name="Bold/Border 4" xfId="8005" xr:uid="{BFD2E4AE-A2AD-4304-A639-96E3FD93465A}"/>
    <cellStyle name="Bold/Border 5" xfId="7946" xr:uid="{00FFE9FB-BD98-4A6A-9EEF-7E08C2C22076}"/>
    <cellStyle name="Bold/Border 6" xfId="7880" xr:uid="{54774543-A81E-4977-B9F1-FA88CFE0E0E1}"/>
    <cellStyle name="Bold/Border 7" xfId="7863" xr:uid="{CD8FC7A9-E6B0-40AB-96F5-B1B390EEAB5C}"/>
    <cellStyle name="Border Heavy" xfId="3313" xr:uid="{C96847F2-F586-4499-A8F7-96577EA33857}"/>
    <cellStyle name="Box" xfId="5400" xr:uid="{8F41E910-A61F-45F7-8C33-DFD806997BA3}"/>
    <cellStyle name="Bullet" xfId="5401" xr:uid="{27FFEB64-59CF-4C37-A190-253AD9EECF96}"/>
    <cellStyle name="Bullet 2" xfId="5402" xr:uid="{1DD67227-B8F3-42DA-A377-D00230130596}"/>
    <cellStyle name="Bullet 3" xfId="5403" xr:uid="{DF3BBFF5-64E5-4A5F-9137-C9846AEB0244}"/>
    <cellStyle name="Bullet 4" xfId="5404" xr:uid="{D329D4DD-7FD5-41EC-85A5-097D1E98CE0E}"/>
    <cellStyle name="Bullet 5" xfId="5405" xr:uid="{8D51B0CD-388C-4D0F-8CBC-2112FAA04692}"/>
    <cellStyle name="Bullet 6" xfId="5406" xr:uid="{8381EDD2-D151-496A-9A11-E9819CABA4AF}"/>
    <cellStyle name="Business Description" xfId="3314" xr:uid="{BDCB87D3-6ADF-4A7F-9291-C95385E07C3D}"/>
    <cellStyle name="c" xfId="5407" xr:uid="{7A65C82D-4B5C-4B7B-BE00-CB762EBF20E1}"/>
    <cellStyle name="c 2" xfId="5408" xr:uid="{88BB2A14-187A-458D-83E0-43AC8C34407A}"/>
    <cellStyle name="c 3" xfId="5409" xr:uid="{7E7E84E0-7344-495B-BFC3-25D9C2B59A74}"/>
    <cellStyle name="c 4" xfId="5410" xr:uid="{78F9283C-BA37-4758-BA4A-32DFEA55D68D}"/>
    <cellStyle name="c 5" xfId="5411" xr:uid="{AB7D1E0F-13AE-4153-82EC-30E09DC730CD}"/>
    <cellStyle name="c 6" xfId="5412" xr:uid="{F98F3058-D1A7-4ADA-977A-306B0B75930C}"/>
    <cellStyle name="Ç¥ÁØ_´Ü°èº° ±¸Ãà¾È" xfId="5413" xr:uid="{4AEC2932-C5B6-4FA9-81BB-C7F0BBD3D9A4}"/>
    <cellStyle name="C05_Style E Text" xfId="5414" xr:uid="{D93B4EB8-AE00-45EE-9BAE-08A4BCDC0D38}"/>
    <cellStyle name="Calc Cells" xfId="1564" xr:uid="{C4473295-ED4F-4B03-8A87-6E164424220B}"/>
    <cellStyle name="Calc Cells 2" xfId="5415" xr:uid="{EB2374C7-0886-4976-9CF4-C8101ED9D310}"/>
    <cellStyle name="Calc Cells 3" xfId="5416" xr:uid="{7AE11F1B-CB57-4D10-897A-C3F642BA0D6D}"/>
    <cellStyle name="Calc Cells 4" xfId="5417" xr:uid="{77814381-AF8C-45B4-89E0-1747032D39D1}"/>
    <cellStyle name="Calc Cells 5" xfId="5418" xr:uid="{8F1AEB27-DA8E-4FA8-AAAC-0878C636D88A}"/>
    <cellStyle name="Calc Cells 6" xfId="5419" xr:uid="{8774E071-7D08-4F0A-A010-5D71158082DC}"/>
    <cellStyle name="Calc Units (2)" xfId="5420" xr:uid="{7CD8C2EC-8A2C-4EE5-807B-E6DF5AC1CAC3}"/>
    <cellStyle name="Calc Units (2) 2" xfId="5421" xr:uid="{A526993B-48F8-4E80-82B5-3E486CC270CB}"/>
    <cellStyle name="Calc Units (2) 3" xfId="5422" xr:uid="{5444932F-2C6D-4CF7-8D1C-7634B0D16465}"/>
    <cellStyle name="Calc Units (2) 4" xfId="5423" xr:uid="{1028E99A-8104-4965-9FDA-91FFA450F138}"/>
    <cellStyle name="Calc Units (2) 5" xfId="5424" xr:uid="{849CA577-F6D7-4B2F-9DFF-1ECC74C2823C}"/>
    <cellStyle name="Calc Units (2) 6" xfId="5425" xr:uid="{10EFB948-0130-4E1A-AD81-3F1F58B50339}"/>
    <cellStyle name="Calc Units (2) 7" xfId="5426" xr:uid="{15873283-9919-42E7-A2B2-DFA34CB30145}"/>
    <cellStyle name="Calc Units (2) 8" xfId="5427" xr:uid="{5C3AB893-AC22-4744-AA18-39FE95AECCCC}"/>
    <cellStyle name="Calculation 10" xfId="1565" xr:uid="{02C3B4F8-6B90-4B16-A97A-A27E838E4BAC}"/>
    <cellStyle name="Calculation 10 2" xfId="1566" xr:uid="{C88EAE61-205A-4CC5-B675-3AA522D8E842}"/>
    <cellStyle name="Calculation 10 2 2" xfId="1567" xr:uid="{753E34BD-B64D-44B2-845A-6EB8AA946C07}"/>
    <cellStyle name="Calculation 10 2 3" xfId="1568" xr:uid="{626E4588-4747-4F35-A2BD-1057A94B8094}"/>
    <cellStyle name="Calculation 10 2 4" xfId="5428" xr:uid="{B975FEF0-E5A5-448D-8A6D-89372C6C2030}"/>
    <cellStyle name="Calculation 10 3" xfId="5429" xr:uid="{D5389E21-7674-42CA-AA08-0408018A5DA5}"/>
    <cellStyle name="Calculation 10 4" xfId="5430" xr:uid="{4833570B-F927-4D1A-832D-82CAD3445E99}"/>
    <cellStyle name="Calculation 10 5" xfId="5431" xr:uid="{853C8626-B797-47BB-99F7-021B5006E548}"/>
    <cellStyle name="Calculation 10 6" xfId="5432" xr:uid="{89657E03-5E4D-4E90-9031-F969F5CC4CF3}"/>
    <cellStyle name="Calculation 10 7" xfId="5433" xr:uid="{44F1F19B-6719-4201-9CA9-673A8CC0453F}"/>
    <cellStyle name="Calculation 11" xfId="1569" xr:uid="{302418C8-90F5-4930-9DA2-5386B49922D7}"/>
    <cellStyle name="Calculation 11 2" xfId="1570" xr:uid="{DB5349F9-D5B6-4F04-BB98-FA4B1C3A3533}"/>
    <cellStyle name="Calculation 11 2 2" xfId="1571" xr:uid="{78D20D0E-F8D7-44B0-B06F-21C1AFEB7F30}"/>
    <cellStyle name="Calculation 11 2 3" xfId="1572" xr:uid="{8B601F67-7F58-4A0C-8E40-CCDF664A7D18}"/>
    <cellStyle name="Calculation 11 2 4" xfId="5434" xr:uid="{ED3DDF4E-2432-4C95-8996-A9051DA9CB51}"/>
    <cellStyle name="Calculation 11 3" xfId="5435" xr:uid="{4F8D0EB1-4786-4442-B538-5035073CB876}"/>
    <cellStyle name="Calculation 11 4" xfId="5436" xr:uid="{E559FABE-27FC-4A3E-8122-2ED0CE61A43F}"/>
    <cellStyle name="Calculation 11 5" xfId="5437" xr:uid="{9A58C117-7F04-445D-9DB8-020C379E4F9B}"/>
    <cellStyle name="Calculation 11 6" xfId="5438" xr:uid="{47F43AB1-6415-4125-9355-DB995EB05798}"/>
    <cellStyle name="Calculation 11 7" xfId="5439" xr:uid="{5B896EAF-A247-48AA-A7FF-6D450D8D4D00}"/>
    <cellStyle name="Calculation 12" xfId="1573" xr:uid="{C61C8B79-A30C-4DF9-8879-202F1DFC07AD}"/>
    <cellStyle name="Calculation 12 2" xfId="1574" xr:uid="{18736075-8260-4D6A-AC35-DD2625999EEF}"/>
    <cellStyle name="Calculation 12 2 2" xfId="1575" xr:uid="{A6328159-04ED-4D39-8505-0894BDBE8D7A}"/>
    <cellStyle name="Calculation 12 2 3" xfId="1576" xr:uid="{71E9946F-AA64-4A36-88D1-FECFC349C267}"/>
    <cellStyle name="Calculation 12 2 4" xfId="5440" xr:uid="{368007B0-01C4-4D28-89D2-1A7A0ECC7DD4}"/>
    <cellStyle name="Calculation 12 3" xfId="5441" xr:uid="{0063B91C-3840-498B-893D-967F3D560033}"/>
    <cellStyle name="Calculation 12 4" xfId="5442" xr:uid="{D6FFE331-ACBA-4DEE-985B-FC49B11BD3A9}"/>
    <cellStyle name="Calculation 12 5" xfId="5443" xr:uid="{0CF61FA6-5605-4C4E-983A-274148F1AFF7}"/>
    <cellStyle name="Calculation 12 6" xfId="5444" xr:uid="{5BB7B563-6703-45B3-A489-9631E3A960FA}"/>
    <cellStyle name="Calculation 12 7" xfId="5445" xr:uid="{94798EAB-2593-480B-B32D-2D25DCBFDE51}"/>
    <cellStyle name="Calculation 13" xfId="1577" xr:uid="{FD5E6CBF-7042-448B-BFEA-628C68E0B6FE}"/>
    <cellStyle name="Calculation 13 2" xfId="5446" xr:uid="{F55FC0B6-8FDA-4862-8615-BF708A90228B}"/>
    <cellStyle name="Calculation 14" xfId="1578" xr:uid="{8BDF9479-3542-48A9-8197-9A8E0B3E4346}"/>
    <cellStyle name="Calculation 14 2" xfId="5447" xr:uid="{027321FE-0AB5-4D44-BA91-CC51A2BFD57B}"/>
    <cellStyle name="Calculation 15" xfId="1579" xr:uid="{B738F560-06D4-47BB-8AE0-ECF39E4872B2}"/>
    <cellStyle name="Calculation 15 2" xfId="5448" xr:uid="{652C8B4F-F692-43FC-A2A6-85840D587C89}"/>
    <cellStyle name="Calculation 16" xfId="1580" xr:uid="{AFA9373C-8C40-4CCE-83B6-FCBE5AFCF567}"/>
    <cellStyle name="Calculation 16 2" xfId="5449" xr:uid="{3E87F262-0FE2-4D89-89CD-D2FF64F1F2ED}"/>
    <cellStyle name="Calculation 17" xfId="1581" xr:uid="{0F7371CB-B25B-4657-9A42-ECCC130EDE7F}"/>
    <cellStyle name="Calculation 17 2" xfId="5450" xr:uid="{63F9BA60-4254-442A-B3D8-CDB2E3D4D07F}"/>
    <cellStyle name="Calculation 18" xfId="1582" xr:uid="{C76DE987-91CB-440E-A9CA-FC99146F477B}"/>
    <cellStyle name="Calculation 18 2" xfId="5451" xr:uid="{13321F13-977E-4BC2-A2B3-87518AE0391F}"/>
    <cellStyle name="Calculation 19" xfId="1583" xr:uid="{01A9911E-C877-4F18-AF9A-0983AA3D9599}"/>
    <cellStyle name="Calculation 19 2" xfId="5452" xr:uid="{3C64DCA6-6F50-4140-BA9A-FFD64BE57BB5}"/>
    <cellStyle name="Calculation 2" xfId="1584" xr:uid="{04999887-F2D2-491E-9BB2-85866F931C7C}"/>
    <cellStyle name="Calculation 2 2" xfId="1585" xr:uid="{119693D5-7474-4F93-896E-7850AE8ED31A}"/>
    <cellStyle name="Calculation 2 2 2" xfId="1586" xr:uid="{299AE67A-0355-425C-A87D-D8B823701A48}"/>
    <cellStyle name="Calculation 2 2 2 2" xfId="1587" xr:uid="{15F03627-7C25-4EDB-A07E-F100EB525AA3}"/>
    <cellStyle name="Calculation 2 2 2 3" xfId="1588" xr:uid="{348E6D1A-3F81-4B4E-8DBB-272B14A0BC42}"/>
    <cellStyle name="Calculation 2 2 3" xfId="1589" xr:uid="{83F2549F-662F-4017-8B00-A1C97181BD0E}"/>
    <cellStyle name="Calculation 2 2 4" xfId="1590" xr:uid="{BE7EF7FD-295D-4687-B190-8226C989327E}"/>
    <cellStyle name="Calculation 2 2 5" xfId="5453" xr:uid="{CDCB9375-25CB-4509-8A8D-1D883B872326}"/>
    <cellStyle name="Calculation 2 3" xfId="5454" xr:uid="{BEBA58D3-0BAE-4F67-A94C-27BB4CB57433}"/>
    <cellStyle name="Calculation 2 4" xfId="5455" xr:uid="{0E7B09D4-BF41-401F-9057-8F390281C2E4}"/>
    <cellStyle name="Calculation 2 5" xfId="5456" xr:uid="{D69A6DE6-AEF5-4BB2-86E0-B34737E83654}"/>
    <cellStyle name="Calculation 2 6" xfId="5457" xr:uid="{6245BA51-1B70-4A11-95F8-007382C9839A}"/>
    <cellStyle name="Calculation 2 7" xfId="5458" xr:uid="{87F60123-D124-4B9C-9CFA-B36E934E9805}"/>
    <cellStyle name="Calculation 20" xfId="1591" xr:uid="{7FFC18F4-FEA3-4D41-8362-83A6AE046595}"/>
    <cellStyle name="Calculation 20 2" xfId="5459" xr:uid="{E87DE944-1565-41FA-8538-0F0E71D98341}"/>
    <cellStyle name="Calculation 21" xfId="1592" xr:uid="{CBFC3A69-6B42-474D-B29E-7382226E55D0}"/>
    <cellStyle name="Calculation 21 2" xfId="5460" xr:uid="{E12912A9-BBC3-46B9-A1DA-D765CAB9AA25}"/>
    <cellStyle name="Calculation 22" xfId="1593" xr:uid="{725F0683-6DAE-4BA9-A4B1-4EC81C7C65CD}"/>
    <cellStyle name="Calculation 23" xfId="1594" xr:uid="{54CF698A-FFCE-48C1-BD72-EBDC675D87C8}"/>
    <cellStyle name="Calculation 24" xfId="1595" xr:uid="{04E5F53E-1547-4F18-9BBF-8A1CA16E6DDB}"/>
    <cellStyle name="Calculation 25" xfId="1596" xr:uid="{0F5F3CAA-C65F-49B0-BA31-AC1B22978935}"/>
    <cellStyle name="Calculation 26" xfId="1597" xr:uid="{4BCA41F7-F455-4655-B712-D29BE554D7BF}"/>
    <cellStyle name="Calculation 3" xfId="1598" xr:uid="{7A46ACF5-D845-4D9C-9340-C1B25CEAF669}"/>
    <cellStyle name="Calculation 3 2" xfId="1599" xr:uid="{BCBDAF68-36AE-48D5-920D-B26E252BA61D}"/>
    <cellStyle name="Calculation 3 2 2" xfId="1600" xr:uid="{0A912A09-6233-41E6-8873-5851E23F98E4}"/>
    <cellStyle name="Calculation 3 2 3" xfId="1601" xr:uid="{2C7455C7-C743-4943-8CED-F060F616FD01}"/>
    <cellStyle name="Calculation 3 2 4" xfId="5461" xr:uid="{E94A1A80-F480-40EB-8E7D-2F8552E91CDA}"/>
    <cellStyle name="Calculation 3 3" xfId="5462" xr:uid="{70795033-59D1-44FA-BF31-6C71CDB94879}"/>
    <cellStyle name="Calculation 3 4" xfId="5463" xr:uid="{CBA57290-3ADD-4B6B-8C82-2FA310128F00}"/>
    <cellStyle name="Calculation 3 5" xfId="5464" xr:uid="{83C4955B-81F9-4015-8820-0EF225EC8A0C}"/>
    <cellStyle name="Calculation 3 6" xfId="5465" xr:uid="{C93453FE-BFFA-4E2A-8AB1-D7939133273D}"/>
    <cellStyle name="Calculation 3 7" xfId="5466" xr:uid="{829D0CE4-05A6-4771-8637-C42E678F6F95}"/>
    <cellStyle name="Calculation 3 8" xfId="3440" xr:uid="{EC8AA2D2-1D47-4C5C-BFCC-878F2E0934C5}"/>
    <cellStyle name="Calculation 4" xfId="1602" xr:uid="{42738C55-F7BB-4A77-AA39-A3E32750F19C}"/>
    <cellStyle name="Calculation 4 2" xfId="1603" xr:uid="{0679A8EF-BF17-474F-81DC-B9C68F2ADBF1}"/>
    <cellStyle name="Calculation 4 2 2" xfId="1604" xr:uid="{A67E1296-9947-44AB-8049-5CD4B5C2DF0A}"/>
    <cellStyle name="Calculation 4 2 3" xfId="1605" xr:uid="{3E5B81B3-B105-4E7B-BFCD-F1956C6FA9C7}"/>
    <cellStyle name="Calculation 4 2 4" xfId="5468" xr:uid="{67773424-FEB7-4ADA-BECA-95D4091529DD}"/>
    <cellStyle name="Calculation 4 3" xfId="5469" xr:uid="{0EB2359F-A7DE-4631-B7B4-F7EE7D604E3D}"/>
    <cellStyle name="Calculation 4 4" xfId="5470" xr:uid="{AA1F46C2-278C-4B1F-854E-719C75C51680}"/>
    <cellStyle name="Calculation 4 5" xfId="5471" xr:uid="{F88FB312-E66B-4CA7-B7AF-4105E96852DB}"/>
    <cellStyle name="Calculation 4 6" xfId="5472" xr:uid="{1D7DE2EC-5565-4474-9695-AEFFF7C6F4D7}"/>
    <cellStyle name="Calculation 4 7" xfId="5473" xr:uid="{9B2532AF-E348-4653-88E6-9A32F43007BB}"/>
    <cellStyle name="Calculation 4 8" xfId="5467" xr:uid="{214EFCCE-FFC3-4DF5-88B5-9AB23FFC7EB0}"/>
    <cellStyle name="Calculation 5" xfId="1606" xr:uid="{4A7A2DEC-CD4B-48E3-904D-B9D6CD833F03}"/>
    <cellStyle name="Calculation 5 2" xfId="1607" xr:uid="{AE941EAC-EB05-4048-BFA8-56F6FB278F72}"/>
    <cellStyle name="Calculation 5 2 2" xfId="1608" xr:uid="{521FC276-E4C0-4921-B1E1-45E54E066EFC}"/>
    <cellStyle name="Calculation 5 2 3" xfId="1609" xr:uid="{D768F401-1492-4B2C-9B04-2B04AB1817DF}"/>
    <cellStyle name="Calculation 5 2 4" xfId="5475" xr:uid="{83EE48A2-9126-4AE3-9C74-256B720E437A}"/>
    <cellStyle name="Calculation 5 3" xfId="5476" xr:uid="{DEBDACF5-AA33-4C6E-8DE3-AA14152DC07E}"/>
    <cellStyle name="Calculation 5 4" xfId="5477" xr:uid="{37E48077-31D4-48F0-B8EA-B8700974F700}"/>
    <cellStyle name="Calculation 5 5" xfId="5478" xr:uid="{915FF740-C526-45CD-9C09-C08F28C3F572}"/>
    <cellStyle name="Calculation 5 6" xfId="5479" xr:uid="{31868440-FC35-4F94-9BE7-1076D850F2AE}"/>
    <cellStyle name="Calculation 5 7" xfId="5480" xr:uid="{A8D86E5C-00B8-4259-BCAB-E6AA942EE824}"/>
    <cellStyle name="Calculation 5 8" xfId="5474" xr:uid="{5B1F7131-2FE8-4853-859B-CACA63956820}"/>
    <cellStyle name="Calculation 6" xfId="1610" xr:uid="{E6A681F0-98E7-43D9-A675-8A5461B737EE}"/>
    <cellStyle name="Calculation 6 2" xfId="1611" xr:uid="{737B68F6-673A-403C-93D8-F50A891C57BF}"/>
    <cellStyle name="Calculation 6 2 2" xfId="1612" xr:uid="{91E067BD-1A17-4151-9675-D62BD50F57E3}"/>
    <cellStyle name="Calculation 6 2 3" xfId="1613" xr:uid="{59EB696B-64DE-4DA8-8DF4-9DC95BE94AB9}"/>
    <cellStyle name="Calculation 6 2 4" xfId="5481" xr:uid="{1EDC716F-8625-421C-B5C0-34EFCC99E2AC}"/>
    <cellStyle name="Calculation 6 3" xfId="5482" xr:uid="{47F5BE0E-8BC8-4D48-8CDE-6B56B21704A0}"/>
    <cellStyle name="Calculation 6 4" xfId="5483" xr:uid="{2C07AC86-8576-4C33-AAA8-95E0DA64F3C3}"/>
    <cellStyle name="Calculation 6 5" xfId="5484" xr:uid="{7F07F6A7-4AB0-4124-B44B-6EF5233D0262}"/>
    <cellStyle name="Calculation 6 6" xfId="5485" xr:uid="{8AEA5351-E3B3-461B-AE6A-782BFC71C650}"/>
    <cellStyle name="Calculation 6 7" xfId="5486" xr:uid="{27A1EFC6-4207-4E04-A388-459F3F38BBE4}"/>
    <cellStyle name="Calculation 7" xfId="1614" xr:uid="{B03B0C66-5F63-4092-971A-BB0BECC17ABD}"/>
    <cellStyle name="Calculation 7 2" xfId="1615" xr:uid="{37E2B2D4-4A8A-457D-B2E4-254E356C5598}"/>
    <cellStyle name="Calculation 7 2 2" xfId="1616" xr:uid="{3F354201-4CCB-4EEC-9142-2248567235B9}"/>
    <cellStyle name="Calculation 7 2 3" xfId="1617" xr:uid="{10A8D358-7F40-4BB1-80AB-07E473216B33}"/>
    <cellStyle name="Calculation 7 2 4" xfId="5487" xr:uid="{FE7C61B8-699E-4993-8765-F2A6FF4EAFC1}"/>
    <cellStyle name="Calculation 7 3" xfId="5488" xr:uid="{416DE66F-7545-4D1F-8F90-EA4AF49E3955}"/>
    <cellStyle name="Calculation 7 4" xfId="5489" xr:uid="{C43C790E-1D81-4FFD-9BCE-8F8D2E08FAF5}"/>
    <cellStyle name="Calculation 7 5" xfId="5490" xr:uid="{BCD65CD8-17F8-4105-9B33-D29D2A86DEC2}"/>
    <cellStyle name="Calculation 7 6" xfId="5491" xr:uid="{FEA1B645-1306-40CC-AF8C-55DF45789995}"/>
    <cellStyle name="Calculation 7 7" xfId="5492" xr:uid="{BD23967D-44D8-40BC-99EA-3F4594C9E89B}"/>
    <cellStyle name="Calculation 8" xfId="1618" xr:uid="{C4689126-DD8C-42F8-8037-F2DBF05FD173}"/>
    <cellStyle name="Calculation 8 2" xfId="1619" xr:uid="{18978113-B7A0-4EE6-B9B0-D3A00483B96D}"/>
    <cellStyle name="Calculation 8 2 2" xfId="1620" xr:uid="{858B7AFE-A4DA-475F-8E60-3C4E4B14E70F}"/>
    <cellStyle name="Calculation 8 2 3" xfId="1621" xr:uid="{F1BA4764-49DE-423F-8C3F-F23FB2603AB9}"/>
    <cellStyle name="Calculation 8 2 4" xfId="5493" xr:uid="{21F5C28B-7C7D-4A06-9C6B-5D9F2FF1A67C}"/>
    <cellStyle name="Calculation 8 3" xfId="5494" xr:uid="{02DFC77D-EA91-4D67-AF55-C3A8888F0E8D}"/>
    <cellStyle name="Calculation 8 4" xfId="5495" xr:uid="{6FE3C4A2-946E-4CE5-B638-DE4A748030AB}"/>
    <cellStyle name="Calculation 8 5" xfId="5496" xr:uid="{7A820E26-A732-4F9E-97C0-1A37B4CDAD6C}"/>
    <cellStyle name="Calculation 8 6" xfId="5497" xr:uid="{CB94C26B-EBD8-417A-B920-A5086C2E88F8}"/>
    <cellStyle name="Calculation 8 7" xfId="5498" xr:uid="{DAC824D9-3934-4C06-8E6F-BF5F819E6CD0}"/>
    <cellStyle name="Calculation 9" xfId="1622" xr:uid="{451E2B9F-8BAA-4489-97F6-DC7A3B64113E}"/>
    <cellStyle name="Calculation 9 2" xfId="1623" xr:uid="{03AE4E62-3F0B-4BF9-939E-032759E2A57D}"/>
    <cellStyle name="Calculation 9 2 2" xfId="1624" xr:uid="{1CA67FB3-8B85-437D-A35A-45BBF57560F6}"/>
    <cellStyle name="Calculation 9 2 3" xfId="1625" xr:uid="{375BFD78-573F-47E8-BE5B-CA91EBDA8C8F}"/>
    <cellStyle name="Calculation 9 2 4" xfId="5499" xr:uid="{B66F1F17-01FE-494E-A848-876552951E10}"/>
    <cellStyle name="Calculation 9 3" xfId="5500" xr:uid="{A4180369-DEF2-4570-95CF-E2F541DC7D21}"/>
    <cellStyle name="Calculation 9 4" xfId="5501" xr:uid="{5DD5D3AF-2C19-4F9E-AEBC-9A82791AE649}"/>
    <cellStyle name="Calculation 9 5" xfId="5502" xr:uid="{658E6EC5-F24C-47EF-9629-F25359A76B4E}"/>
    <cellStyle name="Calculation 9 6" xfId="5503" xr:uid="{3341919D-DE65-4CE8-B942-918EAE06DB4D}"/>
    <cellStyle name="Calculation 9 7" xfId="5504" xr:uid="{1FCB3AD7-1B7B-4C3A-BCA8-68387232ADA1}"/>
    <cellStyle name="category" xfId="5505" xr:uid="{48E490E7-0ED8-43D4-9021-C726F27E3359}"/>
    <cellStyle name="CComma" xfId="1626" xr:uid="{8271773E-5CE6-4F7F-B6F7-79BFC836E3FA}"/>
    <cellStyle name="CComma (0)" xfId="1627" xr:uid="{6ACC295E-9D78-4EE8-BFDC-112C9EC6A34C}"/>
    <cellStyle name="CComma (0) 2" xfId="1628" xr:uid="{4F2DD53D-8568-49E2-B3EC-6E3CABCD9A7F}"/>
    <cellStyle name="CComma (0) 3" xfId="1629" xr:uid="{EC8764C5-0754-403F-946E-49CB6088EE52}"/>
    <cellStyle name="CComma (0) 4" xfId="1630" xr:uid="{AE7AC8FA-33A2-411D-B6A4-F43C8834FEFB}"/>
    <cellStyle name="CComma (0) 5" xfId="1631" xr:uid="{049C4A7B-5306-4FDB-8131-8A7DCD1C249B}"/>
    <cellStyle name="CComma (0) 6" xfId="1632" xr:uid="{340C9023-ED7E-4FC0-A021-50AC9508B06E}"/>
    <cellStyle name="CCurrency (0)" xfId="1633" xr:uid="{6BB8FCF2-867A-4087-9B64-345D93138990}"/>
    <cellStyle name="CCurrency (0) 2" xfId="1634" xr:uid="{F173048E-59B4-495A-8128-B4305D1D7C05}"/>
    <cellStyle name="CCurrency (0) 3" xfId="1635" xr:uid="{6DF616FD-BF64-4B79-8907-7EA887D1BD61}"/>
    <cellStyle name="CCurrency (0) 4" xfId="1636" xr:uid="{2D906FFC-3E91-4AD3-B04A-F176F5418795}"/>
    <cellStyle name="CCurrency (0) 5" xfId="1637" xr:uid="{CF70F1FF-42CA-400F-8B25-CC975F1F1F6F}"/>
    <cellStyle name="CCurrency (0) 6" xfId="1638" xr:uid="{F59D47A2-9B37-44B1-8633-A93610975EF7}"/>
    <cellStyle name="CENTER HEAD" xfId="5506" xr:uid="{5A22DAFE-E543-4BB2-929D-60E22F32F62B}"/>
    <cellStyle name="CENTER HEAD 2" xfId="5507" xr:uid="{EAFEF0C4-9212-45C0-BA47-26E949070D0A}"/>
    <cellStyle name="CENTER HEAD 8" xfId="5508" xr:uid="{4970DA01-744C-472B-8ACB-5FFC188FC899}"/>
    <cellStyle name="CENTER HEAD 8 2" xfId="5509" xr:uid="{CE3F15A1-4485-40A6-B49E-A186AFCE3EFE}"/>
    <cellStyle name="CENTER HEAD 9" xfId="5510" xr:uid="{DE48AD83-325A-47AC-B353-D54FC59F8B03}"/>
    <cellStyle name="CENTER HEAD 9 2" xfId="5511" xr:uid="{FE9EAA48-E945-46A3-850E-6B3B098A8F7F}"/>
    <cellStyle name="CENTER LABEL" xfId="5512" xr:uid="{4E019306-869A-4D48-8B8A-892473B463A3}"/>
    <cellStyle name="CENTER LABEL 2" xfId="5513" xr:uid="{E7613B0B-3D7A-4A75-B289-B6656FB18FCF}"/>
    <cellStyle name="Cents" xfId="5514" xr:uid="{E23B4E7D-46DD-443A-8B09-40E916FDB047}"/>
    <cellStyle name="Changeable" xfId="5515" xr:uid="{739502A9-D35E-480A-9443-0C28DA0CF842}"/>
    <cellStyle name="ChartingText" xfId="1639" xr:uid="{A0C072A8-D95A-472D-A32E-BAB2305EE268}"/>
    <cellStyle name="ChartingText 2" xfId="1640" xr:uid="{40E8D3A6-F7C0-4848-8094-B623DBE4ECF4}"/>
    <cellStyle name="Check Cell 10" xfId="1641" xr:uid="{65B045FA-0250-4D23-A4F8-DC22BE89F1C3}"/>
    <cellStyle name="Check Cell 10 2" xfId="1642" xr:uid="{CCD88694-6630-45B2-A9B6-063AD765D8AF}"/>
    <cellStyle name="Check Cell 10 2 2" xfId="1643" xr:uid="{7FB5CB33-7841-4C89-990A-804D4BCDA3FC}"/>
    <cellStyle name="Check Cell 10 2 3" xfId="1644" xr:uid="{234A74D3-5BD7-489D-A983-64828C1A142D}"/>
    <cellStyle name="Check Cell 10 2 4" xfId="5516" xr:uid="{D7DAA12A-506D-4C8C-AED1-22962AC74F57}"/>
    <cellStyle name="Check Cell 10 3" xfId="5517" xr:uid="{B56D5596-0BF1-44A6-B11A-110A97852449}"/>
    <cellStyle name="Check Cell 10 4" xfId="5518" xr:uid="{E37AE611-9BB4-411A-BE5F-E0312D478AE2}"/>
    <cellStyle name="Check Cell 10 5" xfId="5519" xr:uid="{D0615BE2-8ADE-4C95-90FF-364B68DA034E}"/>
    <cellStyle name="Check Cell 10 6" xfId="5520" xr:uid="{6679E75B-48DB-4C49-8733-D3C676F1FEB0}"/>
    <cellStyle name="Check Cell 10 7" xfId="5521" xr:uid="{8F5EFBF7-E58C-4A5A-9118-7F4C235C1144}"/>
    <cellStyle name="Check Cell 11" xfId="1645" xr:uid="{00C12BBB-740E-4F1D-9FD0-1C8DF0FE89DF}"/>
    <cellStyle name="Check Cell 11 2" xfId="1646" xr:uid="{87D57795-8AA5-46A4-A789-9183B3F1FB5B}"/>
    <cellStyle name="Check Cell 11 2 2" xfId="1647" xr:uid="{857A1B7D-CE31-486F-83CD-7793197D7E03}"/>
    <cellStyle name="Check Cell 11 2 3" xfId="1648" xr:uid="{2BB11D36-1662-401A-AFEA-2EAA9B31BB77}"/>
    <cellStyle name="Check Cell 11 2 4" xfId="5522" xr:uid="{9DC482E7-F2EC-4624-9FD5-65A43E43BFB8}"/>
    <cellStyle name="Check Cell 11 3" xfId="5523" xr:uid="{17A7C3DC-E60A-4E14-85F2-2BB81A7E99B1}"/>
    <cellStyle name="Check Cell 11 4" xfId="5524" xr:uid="{A6807F52-ECEF-44C9-801D-210EE742BE2A}"/>
    <cellStyle name="Check Cell 11 5" xfId="5525" xr:uid="{DC532D8E-BC8F-49C8-838C-123DB7EB8BED}"/>
    <cellStyle name="Check Cell 11 6" xfId="5526" xr:uid="{134C965B-394B-479F-989F-BB542007CA85}"/>
    <cellStyle name="Check Cell 11 7" xfId="5527" xr:uid="{94AEC345-1AC2-4740-A0D2-867502C1CAE1}"/>
    <cellStyle name="Check Cell 12" xfId="1649" xr:uid="{0D416A8B-6DF9-436E-A6D0-7F7C498E94C6}"/>
    <cellStyle name="Check Cell 12 2" xfId="1650" xr:uid="{BB145948-F35C-40D9-9269-CE0362E5D24A}"/>
    <cellStyle name="Check Cell 12 2 2" xfId="1651" xr:uid="{49590CB4-3A52-4037-92A1-0769ECFB2433}"/>
    <cellStyle name="Check Cell 12 2 3" xfId="1652" xr:uid="{1BF69193-51F4-4354-8DEF-7BFA2536AEC8}"/>
    <cellStyle name="Check Cell 12 2 4" xfId="5528" xr:uid="{9DFEDBBF-E4ED-47E5-BA59-C4BA4F1CC2E1}"/>
    <cellStyle name="Check Cell 12 3" xfId="5529" xr:uid="{CF4B5CAA-4F04-479C-8F26-B35B7AF534BD}"/>
    <cellStyle name="Check Cell 12 4" xfId="5530" xr:uid="{41BB9711-B7C2-4E01-9C2F-25BD4AC957B5}"/>
    <cellStyle name="Check Cell 12 5" xfId="5531" xr:uid="{0A824F88-0B89-4142-B2EF-C4DFDBF44508}"/>
    <cellStyle name="Check Cell 12 6" xfId="5532" xr:uid="{668B29A4-132D-4B8B-8C05-B5657D948190}"/>
    <cellStyle name="Check Cell 12 7" xfId="5533" xr:uid="{965C975F-908B-408A-94AB-7C3C793ED915}"/>
    <cellStyle name="Check Cell 13" xfId="1653" xr:uid="{755B92BA-6AD9-47AE-9382-D8977698ED84}"/>
    <cellStyle name="Check Cell 13 2" xfId="5534" xr:uid="{779E3594-F43D-4071-BFC7-04116CD23E2D}"/>
    <cellStyle name="Check Cell 14" xfId="1654" xr:uid="{3617488E-9D88-47E7-9651-C7F4D5390A7D}"/>
    <cellStyle name="Check Cell 14 2" xfId="5535" xr:uid="{A90BD533-5789-40CA-AF29-FDC86EA2DEC8}"/>
    <cellStyle name="Check Cell 15" xfId="1655" xr:uid="{7C20A298-2365-42B0-9DE2-F59338C24AE3}"/>
    <cellStyle name="Check Cell 15 2" xfId="5536" xr:uid="{69C88385-E010-4528-8B43-B53910DA077A}"/>
    <cellStyle name="Check Cell 16" xfId="1656" xr:uid="{6AE94586-4C02-46D0-9D1B-B1A11F6437F4}"/>
    <cellStyle name="Check Cell 16 2" xfId="5537" xr:uid="{181ABF38-3FF4-4B0B-B173-05A09E9758E2}"/>
    <cellStyle name="Check Cell 17" xfId="1657" xr:uid="{C4A08CED-1EA7-429D-9318-8A016837DF21}"/>
    <cellStyle name="Check Cell 17 2" xfId="5538" xr:uid="{000017A5-9BD2-4C87-9DD9-608A8381289B}"/>
    <cellStyle name="Check Cell 18" xfId="1658" xr:uid="{58F59931-68AB-47C6-A9B0-4991843FB221}"/>
    <cellStyle name="Check Cell 18 2" xfId="5539" xr:uid="{BF73CE54-CA2E-43F3-B651-084B09C17CA5}"/>
    <cellStyle name="Check Cell 19" xfId="1659" xr:uid="{42012FB1-92F9-45CF-B76B-7129B05587FF}"/>
    <cellStyle name="Check Cell 19 2" xfId="5540" xr:uid="{EE05255B-96B3-419A-AF10-1F36B068600F}"/>
    <cellStyle name="Check Cell 2" xfId="1660" xr:uid="{AB29F6CD-8D9C-41A8-A87D-BEC458CD61EF}"/>
    <cellStyle name="Check Cell 2 2" xfId="1661" xr:uid="{7F5A55F9-A23D-4574-AD63-2A1ED102D338}"/>
    <cellStyle name="Check Cell 2 2 2" xfId="1662" xr:uid="{190263C6-8B81-4C53-BA7A-AEC5D815E1C8}"/>
    <cellStyle name="Check Cell 2 2 2 2" xfId="1663" xr:uid="{44BF66A0-D572-40B7-94D8-FC69A893C1C0}"/>
    <cellStyle name="Check Cell 2 2 2 3" xfId="1664" xr:uid="{7CFD1CA8-91B5-406F-AF0A-8366B9330868}"/>
    <cellStyle name="Check Cell 2 2 3" xfId="1665" xr:uid="{910912A5-2851-44CB-A1D9-4E8DB44D9F16}"/>
    <cellStyle name="Check Cell 2 2 4" xfId="1666" xr:uid="{4DA90D9D-9FD3-4F4B-A0D8-06E60B78EF71}"/>
    <cellStyle name="Check Cell 2 2 5" xfId="5541" xr:uid="{B4F39912-7106-46A1-B1DB-7957A54D98A1}"/>
    <cellStyle name="Check Cell 2 3" xfId="5542" xr:uid="{B676FDA3-196B-40EE-BC32-6349B603BEBD}"/>
    <cellStyle name="Check Cell 2 4" xfId="5543" xr:uid="{E5FD02DF-32EA-4192-B718-FBB43F11F28D}"/>
    <cellStyle name="Check Cell 2 5" xfId="5544" xr:uid="{24833D02-4166-4E95-96EE-8B5E8B2D2A29}"/>
    <cellStyle name="Check Cell 2 6" xfId="5545" xr:uid="{ADD23804-2662-4B5C-972A-AB6FBAD91908}"/>
    <cellStyle name="Check Cell 2 7" xfId="5546" xr:uid="{E5ED23F1-9229-48F0-8C35-B67A442F4129}"/>
    <cellStyle name="Check Cell 20" xfId="1667" xr:uid="{1FD76ED5-6D4B-4359-9059-A642571F9DFA}"/>
    <cellStyle name="Check Cell 20 2" xfId="5547" xr:uid="{C7A7C7E4-6923-4BBF-B0EC-7C56E73FCB64}"/>
    <cellStyle name="Check Cell 21" xfId="1668" xr:uid="{EB2B8E50-24F9-4378-9E1F-7A26CA41CD7A}"/>
    <cellStyle name="Check Cell 21 2" xfId="5548" xr:uid="{D5BFEBC3-3AB2-4259-98D4-6B9689141EF0}"/>
    <cellStyle name="Check Cell 22" xfId="1669" xr:uid="{A6F93B1F-146F-4137-826A-6ED2AD0383D7}"/>
    <cellStyle name="Check Cell 23" xfId="1670" xr:uid="{C703A956-0E1F-4FE4-A39D-78502543D830}"/>
    <cellStyle name="Check Cell 24" xfId="1671" xr:uid="{23399AC8-19A5-4641-AF62-2F215BC96C5A}"/>
    <cellStyle name="Check Cell 25" xfId="1672" xr:uid="{F5471816-AD95-4E80-9B65-4F534626CD67}"/>
    <cellStyle name="Check Cell 26" xfId="1673" xr:uid="{FBD31B47-4F99-4C05-B403-D9A4DF0159BE}"/>
    <cellStyle name="Check Cell 3" xfId="1674" xr:uid="{DC297EF9-C6FC-41F4-90E8-21FBE8263363}"/>
    <cellStyle name="Check Cell 3 2" xfId="1675" xr:uid="{E95B9B7B-D9A7-41DC-BCB5-F18249076FF0}"/>
    <cellStyle name="Check Cell 3 2 2" xfId="1676" xr:uid="{0E0ECD2E-4C5C-4512-BBBC-B102D1D82223}"/>
    <cellStyle name="Check Cell 3 2 3" xfId="1677" xr:uid="{DE4501CB-08F6-4512-84C0-B55A15B8F3C3}"/>
    <cellStyle name="Check Cell 3 2 4" xfId="5549" xr:uid="{E6A6F69F-D3CC-4FEA-8B95-A5F9F9969060}"/>
    <cellStyle name="Check Cell 3 3" xfId="5550" xr:uid="{424D5096-1AF9-45C9-9840-F0301171B993}"/>
    <cellStyle name="Check Cell 3 4" xfId="5551" xr:uid="{24A44398-3457-49BF-836A-FDA1F4BA84D1}"/>
    <cellStyle name="Check Cell 3 5" xfId="5552" xr:uid="{B99D11A7-C1ED-4715-9B49-BF91747E614E}"/>
    <cellStyle name="Check Cell 3 6" xfId="5553" xr:uid="{4604FFA6-5115-4787-8F96-2FC59095BFCB}"/>
    <cellStyle name="Check Cell 3 7" xfId="5554" xr:uid="{C141F01D-9A92-4EA9-9966-F36131CB998D}"/>
    <cellStyle name="Check Cell 3 8" xfId="3433" xr:uid="{C47FEA07-5F15-4771-A999-A295E671A05F}"/>
    <cellStyle name="Check Cell 4" xfId="1678" xr:uid="{D2734FB7-5FF3-481B-82A5-B29E45219E29}"/>
    <cellStyle name="Check Cell 4 2" xfId="1679" xr:uid="{1A6D051F-F69A-4D47-AA58-AE8EA0DC2C6E}"/>
    <cellStyle name="Check Cell 4 2 2" xfId="1680" xr:uid="{3DD4FA8B-B174-4BDB-8D20-9F412B9C4690}"/>
    <cellStyle name="Check Cell 4 2 3" xfId="1681" xr:uid="{9A835E8B-CEB5-4DC9-82C5-E6E914F7C287}"/>
    <cellStyle name="Check Cell 4 2 4" xfId="5556" xr:uid="{98C959F1-6FCC-48F9-837E-78008A5318A7}"/>
    <cellStyle name="Check Cell 4 3" xfId="5557" xr:uid="{CDC81F38-1B52-47F9-A759-59F54D5E7A32}"/>
    <cellStyle name="Check Cell 4 4" xfId="5558" xr:uid="{137DD1D9-C140-44A9-BC00-DDAE5465D678}"/>
    <cellStyle name="Check Cell 4 5" xfId="5559" xr:uid="{29A263C0-52FF-45C1-A1CC-8E2860C93FED}"/>
    <cellStyle name="Check Cell 4 6" xfId="5560" xr:uid="{6077248F-912D-463A-B061-08CA2E1E49BB}"/>
    <cellStyle name="Check Cell 4 7" xfId="5561" xr:uid="{F0720BD1-A0BD-40D0-9028-59D79661EBB7}"/>
    <cellStyle name="Check Cell 4 8" xfId="5555" xr:uid="{C9494DE2-7F26-4C86-B478-E183F97627AE}"/>
    <cellStyle name="Check Cell 5" xfId="1682" xr:uid="{913085CE-2B4A-42C1-807F-020927CFA886}"/>
    <cellStyle name="Check Cell 5 2" xfId="1683" xr:uid="{7CF0402E-2EB6-41F2-A894-CD8C7299BE24}"/>
    <cellStyle name="Check Cell 5 2 2" xfId="1684" xr:uid="{9B0B4315-914C-4F39-91F0-83E2C301F883}"/>
    <cellStyle name="Check Cell 5 2 3" xfId="1685" xr:uid="{F8AB8018-E85E-481D-99E6-A99172C574F6}"/>
    <cellStyle name="Check Cell 5 2 4" xfId="5563" xr:uid="{7031BDDB-9065-485E-8681-944C6A8651E0}"/>
    <cellStyle name="Check Cell 5 3" xfId="5564" xr:uid="{79E524C7-FFA6-4137-9706-72F33BAE1A59}"/>
    <cellStyle name="Check Cell 5 4" xfId="5565" xr:uid="{E8A6DF54-2B8D-4FAB-8B7D-C3A7D8080272}"/>
    <cellStyle name="Check Cell 5 5" xfId="5566" xr:uid="{07CCDA8C-A688-4ACE-B316-6D9A7E23E6D3}"/>
    <cellStyle name="Check Cell 5 6" xfId="5567" xr:uid="{E952A749-8F07-43DA-8733-90F85E2E3B1B}"/>
    <cellStyle name="Check Cell 5 7" xfId="5568" xr:uid="{573CB2FB-BCAC-4616-A646-372440F1532B}"/>
    <cellStyle name="Check Cell 5 8" xfId="5562" xr:uid="{8C551E12-4FAC-4569-81D4-6F013E0C6280}"/>
    <cellStyle name="Check Cell 6" xfId="1686" xr:uid="{61B3EA87-B579-4E1F-BB0A-07F9B7694C19}"/>
    <cellStyle name="Check Cell 6 2" xfId="1687" xr:uid="{0DB6A091-5C23-4CA5-B18E-156B5933085A}"/>
    <cellStyle name="Check Cell 6 2 2" xfId="1688" xr:uid="{75D4A285-D663-42C9-80C8-FC55C3DEBC2B}"/>
    <cellStyle name="Check Cell 6 2 3" xfId="1689" xr:uid="{0A4FB4B5-E9C3-473C-A292-7866035A9D6D}"/>
    <cellStyle name="Check Cell 6 2 4" xfId="5569" xr:uid="{8C751570-FE48-483D-A954-DCD7022A2146}"/>
    <cellStyle name="Check Cell 6 3" xfId="5570" xr:uid="{4342BBCB-2256-47F7-97AF-EC4847852A4E}"/>
    <cellStyle name="Check Cell 6 4" xfId="5571" xr:uid="{2DF01FD5-1F69-400E-91EB-D73C0055CA8B}"/>
    <cellStyle name="Check Cell 6 5" xfId="5572" xr:uid="{81F4EC6B-7D5D-4F7F-93B8-1428FA1A113C}"/>
    <cellStyle name="Check Cell 6 6" xfId="5573" xr:uid="{67984227-87AF-49C0-92C2-75DBE4519854}"/>
    <cellStyle name="Check Cell 6 7" xfId="5574" xr:uid="{E87BBF83-8A37-4A23-826C-6B4EB4121BC5}"/>
    <cellStyle name="Check Cell 7" xfId="1690" xr:uid="{263E970B-05C3-4D99-B060-955919FE0565}"/>
    <cellStyle name="Check Cell 7 2" xfId="1691" xr:uid="{14098BD8-A4BD-404C-977E-FE5BEDA7A0C3}"/>
    <cellStyle name="Check Cell 7 2 2" xfId="1692" xr:uid="{C87BE237-6443-42F0-B950-FD44C8497C9E}"/>
    <cellStyle name="Check Cell 7 2 3" xfId="1693" xr:uid="{AB17EFEB-2DEB-4481-8802-BA80AA1E891F}"/>
    <cellStyle name="Check Cell 7 2 4" xfId="5575" xr:uid="{9832DDF2-B0F2-4CF2-8551-F59121D6B736}"/>
    <cellStyle name="Check Cell 7 3" xfId="5576" xr:uid="{5B68E4B1-92B4-49D4-B2DB-F2814FCA368A}"/>
    <cellStyle name="Check Cell 7 4" xfId="5577" xr:uid="{103197A2-9D7E-449C-9357-7924ECE79356}"/>
    <cellStyle name="Check Cell 7 5" xfId="5578" xr:uid="{36397F2C-6C3F-4FE3-BE01-F8F5C39B1BB7}"/>
    <cellStyle name="Check Cell 7 6" xfId="5579" xr:uid="{E036D8C9-FB37-44A2-91E1-19A307A7B9C0}"/>
    <cellStyle name="Check Cell 7 7" xfId="5580" xr:uid="{EC50AF8A-3B41-47B8-9296-B482D59F9B41}"/>
    <cellStyle name="Check Cell 8" xfId="1694" xr:uid="{9338BDBF-262D-44FF-A04A-6D51BC0EDB93}"/>
    <cellStyle name="Check Cell 8 2" xfId="1695" xr:uid="{FB19BF93-D523-4028-88A0-88EB8A22ACFC}"/>
    <cellStyle name="Check Cell 8 2 2" xfId="1696" xr:uid="{5ABABD75-FB99-41BC-8BB0-46E7B7D1B0E3}"/>
    <cellStyle name="Check Cell 8 2 3" xfId="1697" xr:uid="{DD441C44-E28D-46D1-A60D-807BD047E7EA}"/>
    <cellStyle name="Check Cell 8 2 4" xfId="5581" xr:uid="{F33FDD87-66B8-4AE5-B548-04BABF9A6C5D}"/>
    <cellStyle name="Check Cell 8 3" xfId="5582" xr:uid="{5613A9B2-83E9-4313-977F-FD7B4126003D}"/>
    <cellStyle name="Check Cell 8 4" xfId="5583" xr:uid="{03FC4B73-A7EC-4FE5-ADF2-17F87F65044E}"/>
    <cellStyle name="Check Cell 8 5" xfId="5584" xr:uid="{7147A0AB-60EE-40D3-8E5C-5731E795E11F}"/>
    <cellStyle name="Check Cell 8 6" xfId="5585" xr:uid="{A936AB6C-4A4C-482D-BF51-FD094D0C0D38}"/>
    <cellStyle name="Check Cell 8 7" xfId="5586" xr:uid="{87719871-8151-4815-9500-C072582946D8}"/>
    <cellStyle name="Check Cell 9" xfId="1698" xr:uid="{5025CDA9-F3EE-4EDB-8CF7-847E511631B0}"/>
    <cellStyle name="Check Cell 9 2" xfId="1699" xr:uid="{BFB29990-CAC3-4FD1-934B-4D76D32E5DCD}"/>
    <cellStyle name="Check Cell 9 2 2" xfId="1700" xr:uid="{74A13D87-80A3-497A-8299-7D20E14B1C2E}"/>
    <cellStyle name="Check Cell 9 2 3" xfId="1701" xr:uid="{8E8CD4EF-B7F0-46C3-AAED-3DB77B1D8C06}"/>
    <cellStyle name="Check Cell 9 2 4" xfId="5587" xr:uid="{82ED6724-A209-4B9B-BF5D-9B6C10F0BB81}"/>
    <cellStyle name="Check Cell 9 3" xfId="5588" xr:uid="{4AC861E3-123D-4510-B812-D464169AF46D}"/>
    <cellStyle name="Check Cell 9 4" xfId="5589" xr:uid="{A08E53B2-7391-4815-B88F-B8BFB41A2DEC}"/>
    <cellStyle name="Check Cell 9 5" xfId="5590" xr:uid="{EE9F0B3C-A50F-487F-95B8-24BC9675CA4B}"/>
    <cellStyle name="Check Cell 9 6" xfId="5591" xr:uid="{11E063BA-AC4A-4ECF-861C-AA93BFF0E43B}"/>
    <cellStyle name="Check Cell 9 7" xfId="5592" xr:uid="{23A5314E-6431-45DB-811A-6AD827684EDE}"/>
    <cellStyle name="Co. Names" xfId="3315" xr:uid="{6DA517FD-C451-4815-99FA-34D3E6DE90AE}"/>
    <cellStyle name="Co. Names - Bold" xfId="3316" xr:uid="{D27F2997-E619-463D-B980-5063104EBDEF}"/>
    <cellStyle name="Co. Names_Break-Up" xfId="3317" xr:uid="{2F8035E0-8DE2-4730-A6FA-61E461FBC11F}"/>
    <cellStyle name="COL HEADINGS" xfId="3318" xr:uid="{B989149E-43DE-4157-9E07-B5087A58A09A}"/>
    <cellStyle name="COL HEADINGS 10" xfId="7825" xr:uid="{7B355E4B-9857-4034-B29A-D8A602440643}"/>
    <cellStyle name="COL HEADINGS 11" xfId="8011" xr:uid="{131B15B7-1B6F-4B28-8306-03C3FB846E77}"/>
    <cellStyle name="COL HEADINGS 12" xfId="8019" xr:uid="{E6E05615-0FE9-44A9-883D-D61759E8575A}"/>
    <cellStyle name="COL HEADINGS 13" xfId="7912" xr:uid="{92CAE22F-1EB2-4B96-9C63-18369D577229}"/>
    <cellStyle name="COL HEADINGS 2" xfId="3453" xr:uid="{EBF0CF3C-C13A-4C5D-A795-8C964DD09E3E}"/>
    <cellStyle name="COL HEADINGS 2 10" xfId="7866" xr:uid="{5D3D846B-E049-46F5-9215-19D43D7697B7}"/>
    <cellStyle name="COL HEADINGS 2 11" xfId="7893" xr:uid="{126D7AC2-2E69-4A6F-85DC-1D38A64EEBF1}"/>
    <cellStyle name="COL HEADINGS 2 12" xfId="7869" xr:uid="{1F5B885E-6BB9-4978-822C-D9F7982E6548}"/>
    <cellStyle name="COL HEADINGS 2 2" xfId="3473" xr:uid="{90F052D2-2B5F-49D2-BD85-236B736BE692}"/>
    <cellStyle name="COL HEADINGS 2 2 10" xfId="7966" xr:uid="{4D77BCBE-37E8-4D0A-AB9F-ACDC85055022}"/>
    <cellStyle name="COL HEADINGS 2 2 2" xfId="3506" xr:uid="{F9004838-3612-41C7-B7D0-67DCF10FD133}"/>
    <cellStyle name="COL HEADINGS 2 2 2 2" xfId="7798" xr:uid="{540E3DE1-58F2-4D57-BA35-A301CEA8BA75}"/>
    <cellStyle name="COL HEADINGS 2 2 2 2 2" xfId="8045" xr:uid="{80BACAD1-4707-4645-BAFB-D68E5FC5B152}"/>
    <cellStyle name="COL HEADINGS 2 2 2 2 3" xfId="8008" xr:uid="{5EB894EA-721A-4264-864B-D34246F84945}"/>
    <cellStyle name="COL HEADINGS 2 2 2 2 4" xfId="8077" xr:uid="{67CC26E3-2072-48B6-8D9B-3692A38A4B1F}"/>
    <cellStyle name="COL HEADINGS 2 2 2 2 5" xfId="8108" xr:uid="{047A4CE8-38DB-448B-8BEB-6D2825BFF468}"/>
    <cellStyle name="COL HEADINGS 2 2 2 2 6" xfId="8135" xr:uid="{197EA6DB-330A-41C5-9C27-E77300FB1D97}"/>
    <cellStyle name="COL HEADINGS 2 2 2 2 7" xfId="8165" xr:uid="{368ACE79-55D5-4883-9FD9-A453A393BB90}"/>
    <cellStyle name="COL HEADINGS 2 2 2 2 8" xfId="8195" xr:uid="{B7AF640C-5251-4836-B006-A9F67D00E8E8}"/>
    <cellStyle name="COL HEADINGS 2 2 2 3" xfId="7870" xr:uid="{3D725DE3-EFD5-4E2E-97B5-31833819AC22}"/>
    <cellStyle name="COL HEADINGS 2 2 2 4" xfId="7925" xr:uid="{C8EC5849-FFF3-478C-8A16-6AD42F5F09EF}"/>
    <cellStyle name="COL HEADINGS 2 2 2 5" xfId="7983" xr:uid="{573FCAD0-E34B-4D6F-8C04-BCE31CCED7DB}"/>
    <cellStyle name="COL HEADINGS 2 2 2 6" xfId="7854" xr:uid="{9B246F3A-1F15-4ADF-92D0-F1391FA13FFF}"/>
    <cellStyle name="COL HEADINGS 2 2 2 7" xfId="7907" xr:uid="{26ABA57B-BA2C-4A81-A68D-3D7BF849CC20}"/>
    <cellStyle name="COL HEADINGS 2 2 3" xfId="3504" xr:uid="{F0EACF49-601F-4F58-B9F4-51D3CC748375}"/>
    <cellStyle name="COL HEADINGS 2 2 3 2" xfId="7796" xr:uid="{14A441AF-E6EA-4BEF-8265-BC73E414FE44}"/>
    <cellStyle name="COL HEADINGS 2 2 3 2 2" xfId="8043" xr:uid="{4C493C17-18A9-486E-8A3F-863AEA564170}"/>
    <cellStyle name="COL HEADINGS 2 2 3 2 3" xfId="7824" xr:uid="{3D7EBB4E-D65A-494E-9807-1B6EBEFB4F29}"/>
    <cellStyle name="COL HEADINGS 2 2 3 2 4" xfId="8075" xr:uid="{6872AAC8-5A0E-4654-8F85-7BD6E0E4737A}"/>
    <cellStyle name="COL HEADINGS 2 2 3 2 5" xfId="8106" xr:uid="{1F0B65A7-40B4-4246-B51E-7D0C8FDE2C3E}"/>
    <cellStyle name="COL HEADINGS 2 2 3 2 6" xfId="8133" xr:uid="{CE314986-4A00-46D3-B8BB-0CC891835A84}"/>
    <cellStyle name="COL HEADINGS 2 2 3 2 7" xfId="8163" xr:uid="{E26C2C97-69BC-413C-A853-E357547B3508}"/>
    <cellStyle name="COL HEADINGS 2 2 3 2 8" xfId="8193" xr:uid="{A1D80746-D536-49F2-910D-0BD3E8252372}"/>
    <cellStyle name="COL HEADINGS 2 2 3 3" xfId="7829" xr:uid="{7DCE646E-7A9F-4207-AE0D-A725AEAB8AA2}"/>
    <cellStyle name="COL HEADINGS 2 2 3 4" xfId="7848" xr:uid="{5B498791-E7DA-4E29-8B12-E5BE457A626A}"/>
    <cellStyle name="COL HEADINGS 2 2 3 5" xfId="7857" xr:uid="{F9DB8286-A32C-4B60-BD25-ED7553E0ACED}"/>
    <cellStyle name="COL HEADINGS 2 2 3 6" xfId="8010" xr:uid="{75A31F0B-D56F-4103-B512-1E2C3A916A37}"/>
    <cellStyle name="COL HEADINGS 2 2 3 7" xfId="7945" xr:uid="{92217998-A70F-4463-B062-C669D30BFA9F}"/>
    <cellStyle name="COL HEADINGS 2 2 4" xfId="3496" xr:uid="{B2B9E608-4A5A-4918-BEEC-2BFEA1FC602C}"/>
    <cellStyle name="COL HEADINGS 2 2 4 2" xfId="7791" xr:uid="{37CED382-35B6-4849-BE02-3A96F3EDFDC5}"/>
    <cellStyle name="COL HEADINGS 2 2 4 2 2" xfId="8038" xr:uid="{41CA1AF9-5D23-48E8-A2C8-1CFD40FD0D80}"/>
    <cellStyle name="COL HEADINGS 2 2 4 2 3" xfId="7861" xr:uid="{053F8AC1-948C-4882-B771-CD194DC5437A}"/>
    <cellStyle name="COL HEADINGS 2 2 4 2 4" xfId="8070" xr:uid="{92C78CE1-10A4-4801-A95E-92177E6C893E}"/>
    <cellStyle name="COL HEADINGS 2 2 4 2 5" xfId="8101" xr:uid="{67207989-CF48-41F8-A111-0A3DD3A28F0E}"/>
    <cellStyle name="COL HEADINGS 2 2 4 2 6" xfId="8128" xr:uid="{AB8BA5B5-A29C-4315-8105-7922B343887B}"/>
    <cellStyle name="COL HEADINGS 2 2 4 2 7" xfId="8158" xr:uid="{F94AA55D-5130-4B45-8A8F-DD53A2672312}"/>
    <cellStyle name="COL HEADINGS 2 2 4 2 8" xfId="8188" xr:uid="{54472657-E0CE-4D22-AD90-E3045682C0C3}"/>
    <cellStyle name="COL HEADINGS 2 2 4 3" xfId="7872" xr:uid="{9351BC94-62F3-412E-A6AA-6C81314222A3}"/>
    <cellStyle name="COL HEADINGS 2 2 4 4" xfId="8014" xr:uid="{CF476840-1811-49F7-80D9-98CD1B2E1EB6}"/>
    <cellStyle name="COL HEADINGS 2 2 4 5" xfId="7891" xr:uid="{0F465339-D5F5-4EE2-9978-CE98AFF2660A}"/>
    <cellStyle name="COL HEADINGS 2 2 4 6" xfId="7887" xr:uid="{FF9B1801-59EB-4431-A79B-6BF335BC1931}"/>
    <cellStyle name="COL HEADINGS 2 2 4 7" xfId="7899" xr:uid="{9AAD2C02-DC2C-4AAE-BC47-068E9BB7A36D}"/>
    <cellStyle name="COL HEADINGS 2 2 5" xfId="7774" xr:uid="{DBFB3D26-D900-4633-BEEB-0FC4AFF70064}"/>
    <cellStyle name="COL HEADINGS 2 2 5 2" xfId="8026" xr:uid="{792BD497-D715-4994-A6B1-3A1D85DA0C63}"/>
    <cellStyle name="COL HEADINGS 2 2 5 3" xfId="7906" xr:uid="{E69F36C3-03D2-428F-B9F9-03FB1DE51E94}"/>
    <cellStyle name="COL HEADINGS 2 2 5 4" xfId="8058" xr:uid="{CB61DA75-3B68-4992-A837-800C812EDBB8}"/>
    <cellStyle name="COL HEADINGS 2 2 5 5" xfId="8089" xr:uid="{1D00CEB4-BDB9-44EF-8BE0-0A36F60008D7}"/>
    <cellStyle name="COL HEADINGS 2 2 5 6" xfId="8116" xr:uid="{83CF0049-69C2-47BC-A896-5D14B0338DBA}"/>
    <cellStyle name="COL HEADINGS 2 2 5 7" xfId="8146" xr:uid="{6B5801DC-166F-4F57-8E3C-E9A03E0465B3}"/>
    <cellStyle name="COL HEADINGS 2 2 5 8" xfId="8176" xr:uid="{6C767D42-B879-46D1-9864-391760DA9DC7}"/>
    <cellStyle name="COL HEADINGS 2 2 6" xfId="7858" xr:uid="{DD4E4565-7B47-4A0F-80F2-55795586D2ED}"/>
    <cellStyle name="COL HEADINGS 2 2 7" xfId="7923" xr:uid="{57772798-32C1-401C-9651-1E034CA94E43}"/>
    <cellStyle name="COL HEADINGS 2 2 8" xfId="7881" xr:uid="{D41FBA75-6379-4E4E-B4A0-3BBFA1327A55}"/>
    <cellStyle name="COL HEADINGS 2 2 9" xfId="8001" xr:uid="{DB65F954-A3B1-4736-95CB-D2521C835473}"/>
    <cellStyle name="COL HEADINGS 2 3" xfId="3474" xr:uid="{C7DBA6F4-A21F-40BD-ACA2-C4C6398CEF23}"/>
    <cellStyle name="COL HEADINGS 2 3 10" xfId="7973" xr:uid="{4108AEC5-EAB9-4F4B-BE90-C5EC14E3DD2A}"/>
    <cellStyle name="COL HEADINGS 2 3 2" xfId="3508" xr:uid="{DC41098B-4D77-4AC8-A3E9-D8ACD71E5107}"/>
    <cellStyle name="COL HEADINGS 2 3 2 2" xfId="7799" xr:uid="{BEFF8C8B-C304-4459-9E9E-6CBCA86C5911}"/>
    <cellStyle name="COL HEADINGS 2 3 2 2 2" xfId="8046" xr:uid="{149D654D-551D-481C-9A71-BCC4D0C1C32B}"/>
    <cellStyle name="COL HEADINGS 2 3 2 2 3" xfId="7823" xr:uid="{A750F3C0-3F03-45BE-854B-4EEC979BEF20}"/>
    <cellStyle name="COL HEADINGS 2 3 2 2 4" xfId="8078" xr:uid="{E2B5EA0D-8E89-449C-AAED-80AD8D22A218}"/>
    <cellStyle name="COL HEADINGS 2 3 2 2 5" xfId="8109" xr:uid="{9D69584F-3F21-4EE0-9099-9129E8190F1D}"/>
    <cellStyle name="COL HEADINGS 2 3 2 2 6" xfId="8136" xr:uid="{2A63D3A2-A7E0-477D-9D3A-E25FAA87A26C}"/>
    <cellStyle name="COL HEADINGS 2 3 2 2 7" xfId="8166" xr:uid="{351E284B-DD51-4F94-9A05-2F7A390A716A}"/>
    <cellStyle name="COL HEADINGS 2 3 2 2 8" xfId="8196" xr:uid="{73202A4C-3E3A-40BF-B150-6C429E14E876}"/>
    <cellStyle name="COL HEADINGS 2 3 2 3" xfId="7879" xr:uid="{9BD07BDD-50CD-4C2E-899C-246BD6BD43B1}"/>
    <cellStyle name="COL HEADINGS 2 3 2 4" xfId="7897" xr:uid="{61437E29-7EF8-4D40-A477-C83D17A3FF3F}"/>
    <cellStyle name="COL HEADINGS 2 3 2 5" xfId="7844" xr:uid="{DF88F820-278C-4B36-A59B-ADE23ED38166}"/>
    <cellStyle name="COL HEADINGS 2 3 2 6" xfId="7885" xr:uid="{EA3762F4-D3C1-471E-A554-7F4BFC67A693}"/>
    <cellStyle name="COL HEADINGS 2 3 2 7" xfId="7910" xr:uid="{2BA8390E-8092-450E-96AA-303E8DB1EAE3}"/>
    <cellStyle name="COL HEADINGS 2 3 3" xfId="3493" xr:uid="{84C5BEF6-29AC-4009-BD8D-FB02AB43E906}"/>
    <cellStyle name="COL HEADINGS 2 3 3 2" xfId="7788" xr:uid="{37E5E423-B954-4539-B857-A197DD85C637}"/>
    <cellStyle name="COL HEADINGS 2 3 3 2 2" xfId="8035" xr:uid="{9271791B-4086-4D0F-91F7-EE5CC6AF457F}"/>
    <cellStyle name="COL HEADINGS 2 3 3 2 3" xfId="7952" xr:uid="{80F7087B-2813-4A1C-B60D-1B9CD33F9083}"/>
    <cellStyle name="COL HEADINGS 2 3 3 2 4" xfId="8067" xr:uid="{0F188C85-F444-47F4-AA83-D5E6547216D9}"/>
    <cellStyle name="COL HEADINGS 2 3 3 2 5" xfId="8098" xr:uid="{BD5D08BF-7036-4A90-B2C1-18231A851328}"/>
    <cellStyle name="COL HEADINGS 2 3 3 2 6" xfId="8125" xr:uid="{3DFECA75-B60E-4D89-9DFE-BF0C94C46D23}"/>
    <cellStyle name="COL HEADINGS 2 3 3 2 7" xfId="8155" xr:uid="{E17C99B3-EA42-4D41-BBCC-7E992CA28BD7}"/>
    <cellStyle name="COL HEADINGS 2 3 3 2 8" xfId="8185" xr:uid="{E834F0C0-45CF-4FD2-ACB4-472A8192AC88}"/>
    <cellStyle name="COL HEADINGS 2 3 3 3" xfId="7993" xr:uid="{33EA3A80-3D93-4AAC-9633-6D526709F32F}"/>
    <cellStyle name="COL HEADINGS 2 3 3 4" xfId="8013" xr:uid="{A0EDC24E-7A55-497F-A67B-50E4A35CC072}"/>
    <cellStyle name="COL HEADINGS 2 3 3 5" xfId="7830" xr:uid="{696CFB73-3F65-4BD1-BEFF-9FDAE6152796}"/>
    <cellStyle name="COL HEADINGS 2 3 3 6" xfId="7819" xr:uid="{49408025-3322-469A-A588-E5CBEFE903E1}"/>
    <cellStyle name="COL HEADINGS 2 3 3 7" xfId="7913" xr:uid="{F8082E95-FD25-49D6-877E-44C4A7C7FE40}"/>
    <cellStyle name="COL HEADINGS 2 3 4" xfId="3495" xr:uid="{06EB65ED-F777-4222-9B95-B3B0AB46166B}"/>
    <cellStyle name="COL HEADINGS 2 3 4 2" xfId="7790" xr:uid="{85FA99F2-B4E0-4DAE-A44E-B9B2364B3D56}"/>
    <cellStyle name="COL HEADINGS 2 3 4 2 2" xfId="8037" xr:uid="{473DBF21-7ACD-4E7E-85E5-CC12BB1D6AEA}"/>
    <cellStyle name="COL HEADINGS 2 3 4 2 3" xfId="7950" xr:uid="{CD504FBF-7B4C-4910-B0C5-6A0BB52B7B2D}"/>
    <cellStyle name="COL HEADINGS 2 3 4 2 4" xfId="8069" xr:uid="{5AA4160A-82AD-4CC5-A157-B95BA098D9C1}"/>
    <cellStyle name="COL HEADINGS 2 3 4 2 5" xfId="8100" xr:uid="{48EAE08F-1E8E-4537-BC47-EF66CBD90C46}"/>
    <cellStyle name="COL HEADINGS 2 3 4 2 6" xfId="8127" xr:uid="{4D630D7B-1C7F-446A-8CFB-B5737AB17E8B}"/>
    <cellStyle name="COL HEADINGS 2 3 4 2 7" xfId="8157" xr:uid="{4648C6AE-3788-45A7-A1EF-4FD9A0CF84B3}"/>
    <cellStyle name="COL HEADINGS 2 3 4 2 8" xfId="8187" xr:uid="{961FF070-4628-4B04-B839-441C3F82ACA8}"/>
    <cellStyle name="COL HEADINGS 2 3 4 3" xfId="7873" xr:uid="{4AFE42FE-240F-4CE8-A238-D845C3529A91}"/>
    <cellStyle name="COL HEADINGS 2 3 4 4" xfId="7834" xr:uid="{88234134-193B-4E79-B576-0A43557623F5}"/>
    <cellStyle name="COL HEADINGS 2 3 4 5" xfId="7867" xr:uid="{ECF35C71-F927-40F6-8312-7947A797EC1F}"/>
    <cellStyle name="COL HEADINGS 2 3 4 6" xfId="7916" xr:uid="{758E8278-A367-4543-BBD1-FAC9B7E72DCC}"/>
    <cellStyle name="COL HEADINGS 2 3 4 7" xfId="7988" xr:uid="{935C78C6-A6E1-4F4E-9C6A-FFB2D0990989}"/>
    <cellStyle name="COL HEADINGS 2 3 5" xfId="7775" xr:uid="{94B28E4E-91A3-4C1D-B253-1DF2542F2EF1}"/>
    <cellStyle name="COL HEADINGS 2 3 5 2" xfId="8027" xr:uid="{73142845-7ECE-4780-BCB6-91566BE8D717}"/>
    <cellStyle name="COL HEADINGS 2 3 5 3" xfId="7960" xr:uid="{D1E6A860-277C-45BA-BD1F-59796C4674A7}"/>
    <cellStyle name="COL HEADINGS 2 3 5 4" xfId="8059" xr:uid="{7BE26CF1-579E-40C3-82A4-A2304336C682}"/>
    <cellStyle name="COL HEADINGS 2 3 5 5" xfId="8090" xr:uid="{72DC484D-DCB3-4406-BE65-78A77485DB39}"/>
    <cellStyle name="COL HEADINGS 2 3 5 6" xfId="8117" xr:uid="{B7D56BCA-4325-45A2-99C2-5443DF6A0D31}"/>
    <cellStyle name="COL HEADINGS 2 3 5 7" xfId="8147" xr:uid="{86F7AC4C-1546-46DC-A2FD-E33C2257B35D}"/>
    <cellStyle name="COL HEADINGS 2 3 5 8" xfId="8177" xr:uid="{770B42DB-D453-4C49-970A-FE5927A44A21}"/>
    <cellStyle name="COL HEADINGS 2 3 6" xfId="7840" xr:uid="{4E2AB2C7-106F-49C2-AB26-3F62D90F94BF}"/>
    <cellStyle name="COL HEADINGS 2 3 7" xfId="7924" xr:uid="{A956B9D0-9607-44D3-8676-4C5F6F69A35C}"/>
    <cellStyle name="COL HEADINGS 2 3 8" xfId="8004" xr:uid="{9EE03D76-C20A-44D5-942B-2F9FF6E7F463}"/>
    <cellStyle name="COL HEADINGS 2 3 9" xfId="7999" xr:uid="{11D2A736-08C6-4549-81B5-82A5F43A066B}"/>
    <cellStyle name="COL HEADINGS 2 4" xfId="3484" xr:uid="{9A73F5C6-9F0C-4AF7-B41D-5CA28B062212}"/>
    <cellStyle name="COL HEADINGS 2 4 2" xfId="3511" xr:uid="{F428A524-DC4F-41B6-AEC4-897C0F69FC1E}"/>
    <cellStyle name="COL HEADINGS 2 4 2 2" xfId="7802" xr:uid="{66F269DA-97E2-4B7B-B511-748A0CC3AE56}"/>
    <cellStyle name="COL HEADINGS 2 4 2 2 2" xfId="8049" xr:uid="{2EE797C1-6F80-440A-B556-6861ED19A492}"/>
    <cellStyle name="COL HEADINGS 2 4 2 2 3" xfId="7860" xr:uid="{1EC29C40-8121-4337-9239-B84F1CDBDE5F}"/>
    <cellStyle name="COL HEADINGS 2 4 2 2 4" xfId="8081" xr:uid="{94EDF136-9871-411A-9F55-BFD6CFD59F55}"/>
    <cellStyle name="COL HEADINGS 2 4 2 2 5" xfId="8112" xr:uid="{4EA2B895-A514-4825-BFDB-34584EF34882}"/>
    <cellStyle name="COL HEADINGS 2 4 2 2 6" xfId="8139" xr:uid="{3E33E13E-9AC0-4717-9275-049E648F7500}"/>
    <cellStyle name="COL HEADINGS 2 4 2 2 7" xfId="8169" xr:uid="{DF974931-9AA1-49DB-9373-277E1EBE96AD}"/>
    <cellStyle name="COL HEADINGS 2 4 2 2 8" xfId="8199" xr:uid="{2330C905-E7D0-4493-91FD-921EA35C2420}"/>
    <cellStyle name="COL HEADINGS 2 4 2 3" xfId="7931" xr:uid="{1CF033C0-4A9C-4556-8D95-1CEB055DCED9}"/>
    <cellStyle name="COL HEADINGS 2 4 2 4" xfId="7914" xr:uid="{96FB7D18-3ABA-4A06-83B0-E9EEDE83FFFC}"/>
    <cellStyle name="COL HEADINGS 2 4 2 5" xfId="7884" xr:uid="{EA45B2FD-E7E9-4C14-B294-597693535983}"/>
    <cellStyle name="COL HEADINGS 2 4 2 6" xfId="7992" xr:uid="{E47F0D46-5D77-49C7-A0CE-204AA52D84C8}"/>
    <cellStyle name="COL HEADINGS 2 4 2 7" xfId="7981" xr:uid="{926383BE-CB9D-4508-8D5A-DD7F884CBD72}"/>
    <cellStyle name="COL HEADINGS 2 4 3" xfId="3490" xr:uid="{B0BCACD2-6FEB-452C-AE6E-672A8E5D5105}"/>
    <cellStyle name="COL HEADINGS 2 4 3 2" xfId="7785" xr:uid="{E885AA90-89B4-4860-B686-34453FB46446}"/>
    <cellStyle name="COL HEADINGS 2 4 3 2 2" xfId="8032" xr:uid="{1645AED7-1CAA-4420-B98C-F696A3FF8A0D}"/>
    <cellStyle name="COL HEADINGS 2 4 3 2 3" xfId="7955" xr:uid="{A9EA9A44-7F80-4DD1-9583-C4A08429DC0C}"/>
    <cellStyle name="COL HEADINGS 2 4 3 2 4" xfId="8064" xr:uid="{2FD5639B-C2C8-4695-9683-CC25B04DF2E8}"/>
    <cellStyle name="COL HEADINGS 2 4 3 2 5" xfId="8095" xr:uid="{3754F591-4DC5-4854-BA38-3BF02EA06B6B}"/>
    <cellStyle name="COL HEADINGS 2 4 3 2 6" xfId="8122" xr:uid="{877086BE-1B03-4B68-946C-9BC96166ECFB}"/>
    <cellStyle name="COL HEADINGS 2 4 3 2 7" xfId="8152" xr:uid="{4E59716E-44EB-4FF4-A514-0DF1F3627814}"/>
    <cellStyle name="COL HEADINGS 2 4 3 2 8" xfId="8182" xr:uid="{16375BA2-0F68-4619-A9DB-0D2AB10A47D6}"/>
    <cellStyle name="COL HEADINGS 2 4 3 3" xfId="7930" xr:uid="{AB56336B-6749-4AB8-9925-B9C695CC7479}"/>
    <cellStyle name="COL HEADINGS 2 4 3 4" xfId="7979" xr:uid="{AFEAE6A9-553D-4EB9-ABE4-F5BB30490AFE}"/>
    <cellStyle name="COL HEADINGS 2 4 3 5" xfId="7855" xr:uid="{5A64AB92-65EB-415B-AB04-C9ADA37C0B10}"/>
    <cellStyle name="COL HEADINGS 2 4 3 6" xfId="8018" xr:uid="{55BCBDA2-F08A-4026-A0C4-4F784BED2160}"/>
    <cellStyle name="COL HEADINGS 2 4 3 7" xfId="7937" xr:uid="{CAE72693-7ADB-40B0-9D4E-76025515A0F8}"/>
    <cellStyle name="COL HEADINGS 2 4 4" xfId="7781" xr:uid="{7CADBCC6-680A-4B52-95B5-CDF089415AB2}"/>
    <cellStyle name="COL HEADINGS 2 4 4 2" xfId="8029" xr:uid="{32E08E6B-D214-4947-B55C-DBEF9661BFBE}"/>
    <cellStyle name="COL HEADINGS 2 4 4 3" xfId="7958" xr:uid="{FD1FF975-7CF2-4EDE-8C29-4342C5AC7EB0}"/>
    <cellStyle name="COL HEADINGS 2 4 4 4" xfId="8061" xr:uid="{3CFC5290-0E27-45C5-B917-C9C7763451A7}"/>
    <cellStyle name="COL HEADINGS 2 4 4 5" xfId="8092" xr:uid="{F0E3082B-960B-4563-AB1D-1DB48C67BC32}"/>
    <cellStyle name="COL HEADINGS 2 4 4 6" xfId="8119" xr:uid="{FB57C08A-705C-4B7E-A8FA-F55271CED2AA}"/>
    <cellStyle name="COL HEADINGS 2 4 4 7" xfId="8149" xr:uid="{FDC8DDEF-4D39-4F3C-B927-B82185E61774}"/>
    <cellStyle name="COL HEADINGS 2 4 4 8" xfId="8179" xr:uid="{3B573A0C-BCB0-44AB-BD23-659B63A317AC}"/>
    <cellStyle name="COL HEADINGS 2 4 5" xfId="7976" xr:uid="{A93102A6-D37B-4BEB-9899-58DA1E6FD09C}"/>
    <cellStyle name="COL HEADINGS 2 4 6" xfId="7894" xr:uid="{287DDB8F-6F6E-4D78-94E7-0F0FF30B1F79}"/>
    <cellStyle name="COL HEADINGS 2 4 7" xfId="7831" xr:uid="{B17C44CE-A6FC-4AAB-8F36-0EBDDED8C0D7}"/>
    <cellStyle name="COL HEADINGS 2 4 8" xfId="7853" xr:uid="{A9F95AE0-DDC8-4AB6-A6F1-67D87C600378}"/>
    <cellStyle name="COL HEADINGS 2 4 9" xfId="7878" xr:uid="{D6D0054D-7755-42D6-9C63-87E506DDF79C}"/>
    <cellStyle name="COL HEADINGS 2 5" xfId="3497" xr:uid="{D893D819-B8F8-4B38-A886-681B776E45EF}"/>
    <cellStyle name="COL HEADINGS 2 5 2" xfId="7792" xr:uid="{E1C79DE9-6D48-4FA1-9B9A-70AE6B1B3076}"/>
    <cellStyle name="COL HEADINGS 2 5 2 2" xfId="8039" xr:uid="{A23276AC-BBCA-4E54-83DB-0DE43EE507D2}"/>
    <cellStyle name="COL HEADINGS 2 5 2 3" xfId="7949" xr:uid="{AFB0C533-D1C0-45ED-8F85-220A9EDC83AF}"/>
    <cellStyle name="COL HEADINGS 2 5 2 4" xfId="8071" xr:uid="{2D5326B2-C4A1-42B8-9947-30A61F90CFB6}"/>
    <cellStyle name="COL HEADINGS 2 5 2 5" xfId="8102" xr:uid="{713763F0-1401-4333-BAFE-865FC6CED78B}"/>
    <cellStyle name="COL HEADINGS 2 5 2 6" xfId="8129" xr:uid="{F07A5061-5A1F-4C90-8D1F-C9AA39512EFF}"/>
    <cellStyle name="COL HEADINGS 2 5 2 7" xfId="8159" xr:uid="{42268C0D-4C0D-42DA-8B41-CE92B27A46C3}"/>
    <cellStyle name="COL HEADINGS 2 5 2 8" xfId="8189" xr:uid="{04F15B47-4903-47CD-9E05-47A1D4B1AB07}"/>
    <cellStyle name="COL HEADINGS 2 5 3" xfId="7871" xr:uid="{60BCA8C7-8901-4FD1-84C6-509F4CAFAF08}"/>
    <cellStyle name="COL HEADINGS 2 5 4" xfId="7911" xr:uid="{148E30F2-05B4-4964-96D8-B66387FFAFAC}"/>
    <cellStyle name="COL HEADINGS 2 5 5" xfId="7982" xr:uid="{4DC47B69-9B54-4BD5-AE01-8A010A3AC560}"/>
    <cellStyle name="COL HEADINGS 2 5 6" xfId="7850" xr:uid="{7BB4995C-90FA-409D-972F-5E496F07DC0D}"/>
    <cellStyle name="COL HEADINGS 2 5 7" xfId="7827" xr:uid="{BD703B58-EDD0-4B6C-BB42-D2B167D71B26}"/>
    <cellStyle name="COL HEADINGS 2 6" xfId="3509" xr:uid="{B0D61C38-F6B2-48E9-8461-99F1D7C83B70}"/>
    <cellStyle name="COL HEADINGS 2 6 2" xfId="7800" xr:uid="{E2DDCEF6-45AD-4B9F-A088-2F327DBBE580}"/>
    <cellStyle name="COL HEADINGS 2 6 2 2" xfId="8047" xr:uid="{A4BBA9C9-C0CA-4FDD-BA01-A343D58C7CBA}"/>
    <cellStyle name="COL HEADINGS 2 6 2 3" xfId="8007" xr:uid="{D24FD153-2149-48D4-87E0-D6D9A54A1347}"/>
    <cellStyle name="COL HEADINGS 2 6 2 4" xfId="8079" xr:uid="{1F164D25-8438-4F06-B72B-EE5314FA4C6A}"/>
    <cellStyle name="COL HEADINGS 2 6 2 5" xfId="8110" xr:uid="{72F2EF5F-AD5A-438F-9BFF-ADC430EC62D3}"/>
    <cellStyle name="COL HEADINGS 2 6 2 6" xfId="8137" xr:uid="{655301C7-59F3-495A-BD43-04E42628F27B}"/>
    <cellStyle name="COL HEADINGS 2 6 2 7" xfId="8167" xr:uid="{E400B54E-78B1-4094-A4B8-DA3FB75767F5}"/>
    <cellStyle name="COL HEADINGS 2 6 2 8" xfId="8197" xr:uid="{58873167-1738-4A01-BF4A-B9863EFFC544}"/>
    <cellStyle name="COL HEADINGS 2 6 3" xfId="7933" xr:uid="{DE0DFF65-70AC-4DB4-902B-21C3CA73FB39}"/>
    <cellStyle name="COL HEADINGS 2 6 4" xfId="7943" xr:uid="{4EC0701D-098D-4729-86AC-2F278ECF2663}"/>
    <cellStyle name="COL HEADINGS 2 6 5" xfId="7883" xr:uid="{9A3D5C1E-048D-4400-B01D-31915CBC3DA1}"/>
    <cellStyle name="COL HEADINGS 2 6 6" xfId="7837" xr:uid="{56DEAE78-22E1-48C3-AABB-4F32A84EAE65}"/>
    <cellStyle name="COL HEADINGS 2 6 7" xfId="7984" xr:uid="{5D48B19D-A075-406D-9126-6E76548C1C76}"/>
    <cellStyle name="COL HEADINGS 2 7" xfId="7758" xr:uid="{C51259BC-1216-4F31-918F-C52CD7BEEC2B}"/>
    <cellStyle name="COL HEADINGS 2 7 2" xfId="8024" xr:uid="{ADDE6FE5-4CC7-49C9-8363-9E6917DD80AA}"/>
    <cellStyle name="COL HEADINGS 2 7 3" xfId="7962" xr:uid="{01B81C53-7B7B-4EF5-A87B-CA5D98C6DB60}"/>
    <cellStyle name="COL HEADINGS 2 7 4" xfId="8056" xr:uid="{A0312491-78FB-42A6-A8D2-20CC024AD7AC}"/>
    <cellStyle name="COL HEADINGS 2 7 5" xfId="8087" xr:uid="{D61878A0-173B-4748-B2D8-BB3D846905B1}"/>
    <cellStyle name="COL HEADINGS 2 7 6" xfId="7908" xr:uid="{0592F7B4-81C6-4DF9-8474-EA9AF2E1101E}"/>
    <cellStyle name="COL HEADINGS 2 7 7" xfId="8144" xr:uid="{25D606E0-B813-4043-A3EA-454489696667}"/>
    <cellStyle name="COL HEADINGS 2 7 8" xfId="8174" xr:uid="{FCDC5EE6-B1E4-4096-BE45-AF26899EC7F7}"/>
    <cellStyle name="COL HEADINGS 2 8" xfId="7841" xr:uid="{DE8E4532-8B42-4229-B82A-18CF0ED31269}"/>
    <cellStyle name="COL HEADINGS 2 9" xfId="7922" xr:uid="{3952AB39-8537-4380-BBBB-5DFA094D6EB0}"/>
    <cellStyle name="COL HEADINGS 3" xfId="3454" xr:uid="{B833E6B9-AFF1-4FC6-A559-69CE2B4E2280}"/>
    <cellStyle name="COL HEADINGS 3 10" xfId="7917" xr:uid="{AB2D51EE-A82A-4D94-9AE0-9EAEAF7B5F26}"/>
    <cellStyle name="COL HEADINGS 3 2" xfId="3501" xr:uid="{1D738456-96DC-499F-8107-BA99A5F2545B}"/>
    <cellStyle name="COL HEADINGS 3 2 2" xfId="7794" xr:uid="{06FFED2C-01CF-4F08-8E1D-380B7EE17A18}"/>
    <cellStyle name="COL HEADINGS 3 2 2 2" xfId="8041" xr:uid="{950B441E-261E-4A00-AFF0-72E87E5CAF72}"/>
    <cellStyle name="COL HEADINGS 3 2 2 3" xfId="7948" xr:uid="{5F4A0BC3-6A78-4D5A-B472-96EF28F7E377}"/>
    <cellStyle name="COL HEADINGS 3 2 2 4" xfId="8073" xr:uid="{BA76027D-4BF7-4D5A-921F-2396057C1742}"/>
    <cellStyle name="COL HEADINGS 3 2 2 5" xfId="8104" xr:uid="{3B1F0891-5BCD-418A-9AC4-2CC8E7DE2E48}"/>
    <cellStyle name="COL HEADINGS 3 2 2 6" xfId="8131" xr:uid="{FB74F7EB-E6C0-4BC0-B207-F267D4B92829}"/>
    <cellStyle name="COL HEADINGS 3 2 2 7" xfId="8161" xr:uid="{40AF4B5C-99BF-4433-BA54-1770B1E9D5B1}"/>
    <cellStyle name="COL HEADINGS 3 2 2 8" xfId="8191" xr:uid="{38DE4407-D213-4E0B-82B5-A0EF03E9F4C3}"/>
    <cellStyle name="COL HEADINGS 3 2 3" xfId="7818" xr:uid="{C28E6DE4-D2AC-4EF5-BF3C-5F09CA40496C}"/>
    <cellStyle name="COL HEADINGS 3 2 4" xfId="7835" xr:uid="{2C18788A-61B5-44D0-B4CC-84B5A4C120D3}"/>
    <cellStyle name="COL HEADINGS 3 2 5" xfId="7972" xr:uid="{774F3BF8-E4F4-4663-A6C1-71A646E83646}"/>
    <cellStyle name="COL HEADINGS 3 2 6" xfId="7920" xr:uid="{9F4544CC-CE69-426F-930C-0DF7FACF1760}"/>
    <cellStyle name="COL HEADINGS 3 2 7" xfId="7978" xr:uid="{0F9EA24F-B2A4-4A8C-874A-BB130C36C52B}"/>
    <cellStyle name="COL HEADINGS 3 3" xfId="3505" xr:uid="{14F3C5B5-24AF-4E28-978C-CBA739AE4BF3}"/>
    <cellStyle name="COL HEADINGS 3 3 2" xfId="7797" xr:uid="{44DEBFB1-B7C6-44D3-9536-06CC863EA432}"/>
    <cellStyle name="COL HEADINGS 3 3 2 2" xfId="8044" xr:uid="{93D350CF-81CB-45AE-AB13-88E7C6911A40}"/>
    <cellStyle name="COL HEADINGS 3 3 2 3" xfId="7904" xr:uid="{690F24CD-5E51-4FE2-8A73-C119A953F674}"/>
    <cellStyle name="COL HEADINGS 3 3 2 4" xfId="8076" xr:uid="{5F38C187-D32E-4782-BC46-540E77A4B1E7}"/>
    <cellStyle name="COL HEADINGS 3 3 2 5" xfId="8107" xr:uid="{E71F1759-355D-40FF-B265-A27175E9ABB6}"/>
    <cellStyle name="COL HEADINGS 3 3 2 6" xfId="8134" xr:uid="{9CA6C239-5D51-4066-8711-32455BE8E7EE}"/>
    <cellStyle name="COL HEADINGS 3 3 2 7" xfId="8164" xr:uid="{EFB7FAD0-2E72-4012-8D03-02A08B049455}"/>
    <cellStyle name="COL HEADINGS 3 3 2 8" xfId="8194" xr:uid="{142C1714-06FD-4F0A-BA4D-AA04AF3DC8C8}"/>
    <cellStyle name="COL HEADINGS 3 3 3" xfId="7975" xr:uid="{9E45AC68-22C0-4C29-80EA-3829A6C44504}"/>
    <cellStyle name="COL HEADINGS 3 3 4" xfId="7849" xr:uid="{6D698582-E44D-4846-9ED1-BC49C0E31833}"/>
    <cellStyle name="COL HEADINGS 3 3 5" xfId="7821" xr:uid="{2A1CE7DE-B626-4572-B82A-1F52E5A6669E}"/>
    <cellStyle name="COL HEADINGS 3 3 6" xfId="7940" xr:uid="{0A39AB00-D857-49F5-A870-302E75F920FA}"/>
    <cellStyle name="COL HEADINGS 3 3 7" xfId="7820" xr:uid="{7A3ACDE2-DFFA-4EEA-9295-E26B81BBB860}"/>
    <cellStyle name="COL HEADINGS 3 4" xfId="3494" xr:uid="{BB1BB200-4901-4F7D-A411-28F97EBF747D}"/>
    <cellStyle name="COL HEADINGS 3 4 2" xfId="7789" xr:uid="{286B68CC-7DFA-4102-9ED3-9ED09530FA3E}"/>
    <cellStyle name="COL HEADINGS 3 4 2 2" xfId="8036" xr:uid="{DC9A4538-DC61-4313-828D-BDCDD9D1991E}"/>
    <cellStyle name="COL HEADINGS 3 4 2 3" xfId="7951" xr:uid="{8DD1E365-8358-4E9A-999E-6E67F4FD7C19}"/>
    <cellStyle name="COL HEADINGS 3 4 2 4" xfId="8068" xr:uid="{2EE48739-D2BE-4813-AA1C-F211A4381399}"/>
    <cellStyle name="COL HEADINGS 3 4 2 5" xfId="8099" xr:uid="{A6A583B6-D015-48EE-8E1C-56D6E43CD1A0}"/>
    <cellStyle name="COL HEADINGS 3 4 2 6" xfId="8126" xr:uid="{4FF6D144-EC09-4E0B-90CA-CEB018CA64C3}"/>
    <cellStyle name="COL HEADINGS 3 4 2 7" xfId="8156" xr:uid="{B772676B-BCE7-417F-8512-D5FDAE7FF689}"/>
    <cellStyle name="COL HEADINGS 3 4 2 8" xfId="8186" xr:uid="{5212846F-9761-487E-95C5-07F6B84E945B}"/>
    <cellStyle name="COL HEADINGS 3 4 3" xfId="7874" xr:uid="{6429B3CD-6107-4458-A760-1345007CA9B5}"/>
    <cellStyle name="COL HEADINGS 3 4 4" xfId="7875" xr:uid="{348A55E1-E5AE-40E8-820B-7012BB87EC3A}"/>
    <cellStyle name="COL HEADINGS 3 4 5" xfId="7882" xr:uid="{D7CA2717-49BF-4274-917B-CB3EB48D81C8}"/>
    <cellStyle name="COL HEADINGS 3 4 6" xfId="7856" xr:uid="{D6503AB8-E0F2-43E2-9683-7A5C7093942F}"/>
    <cellStyle name="COL HEADINGS 3 4 7" xfId="7944" xr:uid="{F393ED30-96A5-4BCB-91EF-787F313BBA18}"/>
    <cellStyle name="COL HEADINGS 3 5" xfId="7759" xr:uid="{AF3E94D4-0966-4E89-BAC3-84FAFDC20F65}"/>
    <cellStyle name="COL HEADINGS 3 5 2" xfId="8025" xr:uid="{9F7BBAD1-C274-48E5-92A7-ACF4ACA7EBAB}"/>
    <cellStyle name="COL HEADINGS 3 5 3" xfId="7961" xr:uid="{90FF0274-B186-4A4C-B8BE-DF9854505BCB}"/>
    <cellStyle name="COL HEADINGS 3 5 4" xfId="8057" xr:uid="{73A6A3E6-4FC0-4829-AB0A-2014B7DF875F}"/>
    <cellStyle name="COL HEADINGS 3 5 5" xfId="8088" xr:uid="{596CE3CD-5DD3-428F-9EBF-D60D290672B5}"/>
    <cellStyle name="COL HEADINGS 3 5 6" xfId="7839" xr:uid="{B4BB3211-A67C-4A88-A5C8-F5F11DD0F7CA}"/>
    <cellStyle name="COL HEADINGS 3 5 7" xfId="8145" xr:uid="{DECFBE70-7AD0-4DAD-BCCD-5D85CD191328}"/>
    <cellStyle name="COL HEADINGS 3 5 8" xfId="8175" xr:uid="{B90D4996-D945-4AC8-A18D-5314D33E5C84}"/>
    <cellStyle name="COL HEADINGS 3 6" xfId="8002" xr:uid="{26AD44DE-33C0-42A2-BC7A-9BAF5D44C4FA}"/>
    <cellStyle name="COL HEADINGS 3 7" xfId="7877" xr:uid="{4FD9A702-0C62-4DE4-9A56-AD19DB6611D3}"/>
    <cellStyle name="COL HEADINGS 3 8" xfId="7859" xr:uid="{6118F655-AB3F-45C7-BE7B-DE8A0B5FF2F5}"/>
    <cellStyle name="COL HEADINGS 3 9" xfId="7868" xr:uid="{54DAB3D5-0A0A-4D9A-A82E-4724A64F8534}"/>
    <cellStyle name="COL HEADINGS 4" xfId="3451" xr:uid="{A9ED1312-B543-4B69-B1D2-6F7CE388F0A3}"/>
    <cellStyle name="COL HEADINGS 4 10" xfId="7918" xr:uid="{FE4D5B9B-8666-4FAC-A5BA-20AC8B8C6C88}"/>
    <cellStyle name="COL HEADINGS 4 2" xfId="3500" xr:uid="{89F31431-6A3A-4AAF-8F72-4D33B06A0E25}"/>
    <cellStyle name="COL HEADINGS 4 2 2" xfId="7793" xr:uid="{EFDDC740-B124-4D16-A795-E07D1DE22CFF}"/>
    <cellStyle name="COL HEADINGS 4 2 2 2" xfId="8040" xr:uid="{77536D73-DBA8-40F1-BF25-CE47F79B22D5}"/>
    <cellStyle name="COL HEADINGS 4 2 2 3" xfId="7905" xr:uid="{C483C595-F692-4408-BE27-C6778EE74532}"/>
    <cellStyle name="COL HEADINGS 4 2 2 4" xfId="8072" xr:uid="{B00B4DA2-8D46-4751-AC64-98078E5AF008}"/>
    <cellStyle name="COL HEADINGS 4 2 2 5" xfId="8103" xr:uid="{4BB3F518-B671-407D-9BA9-CAF9708ABABD}"/>
    <cellStyle name="COL HEADINGS 4 2 2 6" xfId="8130" xr:uid="{A30E8031-32D8-41AE-A78D-54203717ABBA}"/>
    <cellStyle name="COL HEADINGS 4 2 2 7" xfId="8160" xr:uid="{7C9475E9-5616-4A44-8F3B-C9DC661A1A51}"/>
    <cellStyle name="COL HEADINGS 4 2 2 8" xfId="8190" xr:uid="{1CF25E33-F176-4B04-9266-D0BC4431B1D9}"/>
    <cellStyle name="COL HEADINGS 4 2 3" xfId="8021" xr:uid="{B5A878D5-D702-4200-8648-6A09336AA430}"/>
    <cellStyle name="COL HEADINGS 4 2 4" xfId="7901" xr:uid="{1939C73D-1625-42CE-91EC-4F33E1443284}"/>
    <cellStyle name="COL HEADINGS 4 2 5" xfId="7971" xr:uid="{DC88C7C5-0A06-4857-8EB9-872E480D4C60}"/>
    <cellStyle name="COL HEADINGS 4 2 6" xfId="7862" xr:uid="{E98CAF38-785F-4756-B48E-0C613C16C039}"/>
    <cellStyle name="COL HEADINGS 4 2 7" xfId="7974" xr:uid="{3C077AE6-876E-4BBC-9CE3-29A76CD24F04}"/>
    <cellStyle name="COL HEADINGS 4 3" xfId="3492" xr:uid="{6046C2B6-6267-4369-8CB6-DDB384D6BEC7}"/>
    <cellStyle name="COL HEADINGS 4 3 2" xfId="7787" xr:uid="{249CF301-9DE4-4165-829F-E2E4B84C55B0}"/>
    <cellStyle name="COL HEADINGS 4 3 2 2" xfId="8034" xr:uid="{49661105-9896-42CE-A815-ECD332BDE8ED}"/>
    <cellStyle name="COL HEADINGS 4 3 2 3" xfId="7953" xr:uid="{53D5D8B8-9C03-4802-A33E-CBBFDB45004A}"/>
    <cellStyle name="COL HEADINGS 4 3 2 4" xfId="8066" xr:uid="{46273B00-1471-44A5-86F1-88DC186E3551}"/>
    <cellStyle name="COL HEADINGS 4 3 2 5" xfId="8097" xr:uid="{558A99EF-2A05-4BA4-801B-1FECCD9E717B}"/>
    <cellStyle name="COL HEADINGS 4 3 2 6" xfId="8124" xr:uid="{1EB12D7B-A580-4E9F-8B48-8B089703882B}"/>
    <cellStyle name="COL HEADINGS 4 3 2 7" xfId="8154" xr:uid="{122AC4D5-0135-49F8-A6AF-7C1CA7E86D98}"/>
    <cellStyle name="COL HEADINGS 4 3 2 8" xfId="8184" xr:uid="{2A4D8BE1-1C9F-42D9-A74A-DE7EADC3E9D2}"/>
    <cellStyle name="COL HEADINGS 4 3 3" xfId="7994" xr:uid="{4AFBF661-4663-4F7F-A520-AACE716975FB}"/>
    <cellStyle name="COL HEADINGS 4 3 4" xfId="7980" xr:uid="{CA62725D-3577-41C4-8311-7B979E8E5838}"/>
    <cellStyle name="COL HEADINGS 4 3 5" xfId="7997" xr:uid="{C68D56A0-10F2-4376-9A8A-22BA5D6FCE69}"/>
    <cellStyle name="COL HEADINGS 4 3 6" xfId="8015" xr:uid="{C1869F3C-3820-4557-9CF2-A2017ABD7AA3}"/>
    <cellStyle name="COL HEADINGS 4 3 7" xfId="7977" xr:uid="{7D3768CE-E1B5-4D32-A835-56F7A2F767A4}"/>
    <cellStyle name="COL HEADINGS 4 4" xfId="3489" xr:uid="{2960DDF1-5473-4810-972C-DFC14A9E129B}"/>
    <cellStyle name="COL HEADINGS 4 4 2" xfId="7784" xr:uid="{10969000-EFB8-4694-8F00-A8DF28479756}"/>
    <cellStyle name="COL HEADINGS 4 4 2 2" xfId="8031" xr:uid="{1F03DF91-2819-45B3-9B05-804A402B85B7}"/>
    <cellStyle name="COL HEADINGS 4 4 2 3" xfId="7956" xr:uid="{0F835F71-710E-4507-935C-355565BFD3F1}"/>
    <cellStyle name="COL HEADINGS 4 4 2 4" xfId="8063" xr:uid="{66D961F0-2A04-4161-B719-ECE8EFC55B16}"/>
    <cellStyle name="COL HEADINGS 4 4 2 5" xfId="8094" xr:uid="{873C172D-4914-4172-9487-8D715C12276E}"/>
    <cellStyle name="COL HEADINGS 4 4 2 6" xfId="8121" xr:uid="{AEA5D278-665B-42C0-A7C9-F90299CC35E5}"/>
    <cellStyle name="COL HEADINGS 4 4 2 7" xfId="8151" xr:uid="{FA50985D-CE23-4768-A83F-05AF38DD6103}"/>
    <cellStyle name="COL HEADINGS 4 4 2 8" xfId="8181" xr:uid="{40110DCF-7329-4016-BD89-CBBA98A6D986}"/>
    <cellStyle name="COL HEADINGS 4 4 3" xfId="7851" xr:uid="{EDFA7ACC-7F8A-4CE0-9786-B4896730C6CD}"/>
    <cellStyle name="COL HEADINGS 4 4 4" xfId="7832" xr:uid="{30C9C4A9-7E84-4762-B50E-D5C1BE26E0C1}"/>
    <cellStyle name="COL HEADINGS 4 4 5" xfId="7996" xr:uid="{C01B7F2B-F01B-4080-9B9E-FF7EE5B52CAC}"/>
    <cellStyle name="COL HEADINGS 4 4 6" xfId="7864" xr:uid="{F27AC930-5B87-4D83-A624-9FC4A1AE69AB}"/>
    <cellStyle name="COL HEADINGS 4 4 7" xfId="7843" xr:uid="{82D98A92-4FAC-448A-9479-A57FAC854334}"/>
    <cellStyle name="COL HEADINGS 4 5" xfId="7757" xr:uid="{AF253BF8-F0D8-4ECC-A08A-128565AE0E83}"/>
    <cellStyle name="COL HEADINGS 4 5 2" xfId="8023" xr:uid="{F10872D9-AB82-4C35-8CA0-446032784F32}"/>
    <cellStyle name="COL HEADINGS 4 5 3" xfId="7963" xr:uid="{34B2FCC8-0E6F-4ABB-87EF-EF1100D5F2D7}"/>
    <cellStyle name="COL HEADINGS 4 5 4" xfId="8055" xr:uid="{ABCCBF38-978D-4DC3-B13F-DA92E5BE8324}"/>
    <cellStyle name="COL HEADINGS 4 5 5" xfId="8086" xr:uid="{B0940A24-672D-4861-B471-F564B5456D8E}"/>
    <cellStyle name="COL HEADINGS 4 5 6" xfId="7846" xr:uid="{57A7FA9B-DB2B-4C39-98D6-B1205BF10B11}"/>
    <cellStyle name="COL HEADINGS 4 5 7" xfId="8143" xr:uid="{7C709B13-2C90-4249-BF71-D5418A1C73CD}"/>
    <cellStyle name="COL HEADINGS 4 5 8" xfId="8173" xr:uid="{44AFD82B-D052-4603-A4A8-E516AA0CBB5B}"/>
    <cellStyle name="COL HEADINGS 4 6" xfId="7892" xr:uid="{4A672EF3-33F6-4ACD-8F0F-578463A81029}"/>
    <cellStyle name="COL HEADINGS 4 7" xfId="7921" xr:uid="{DAD19E60-D2AE-4C72-BC78-7902AD4FC33B}"/>
    <cellStyle name="COL HEADINGS 4 8" xfId="7886" xr:uid="{E347313C-2B67-4AC6-BF89-2F7E95364A88}"/>
    <cellStyle name="COL HEADINGS 4 9" xfId="7967" xr:uid="{1624BF6F-FB03-494D-A8D3-45CDEB0BC338}"/>
    <cellStyle name="COL HEADINGS 5" xfId="3477" xr:uid="{8AD1ED5B-5E05-47D6-BF8B-838E84022A1E}"/>
    <cellStyle name="COL HEADINGS 5 2" xfId="3503" xr:uid="{FAF6E685-3034-479D-96A0-10863154E013}"/>
    <cellStyle name="COL HEADINGS 5 2 2" xfId="7795" xr:uid="{17F6D13F-2FFB-459E-9949-0C448F03B992}"/>
    <cellStyle name="COL HEADINGS 5 2 2 2" xfId="8042" xr:uid="{B184052B-73C1-4914-AFD1-A81F220515B0}"/>
    <cellStyle name="COL HEADINGS 5 2 2 3" xfId="8006" xr:uid="{815528D9-EDA4-42FC-8E1C-FEF7C1C12747}"/>
    <cellStyle name="COL HEADINGS 5 2 2 4" xfId="8074" xr:uid="{2B396F38-57F7-4C87-B73D-EE1A8E57B816}"/>
    <cellStyle name="COL HEADINGS 5 2 2 5" xfId="8105" xr:uid="{4C5A83FD-3BD3-4D6E-A2F9-D3AD2EA108C6}"/>
    <cellStyle name="COL HEADINGS 5 2 2 6" xfId="8132" xr:uid="{E4240258-59E0-4BD4-B02C-33E14C0A46F1}"/>
    <cellStyle name="COL HEADINGS 5 2 2 7" xfId="8162" xr:uid="{7367320E-906D-462E-9D99-B4245C571F85}"/>
    <cellStyle name="COL HEADINGS 5 2 2 8" xfId="8192" xr:uid="{442E5E0D-461D-4A42-A544-EBDA1FE94D20}"/>
    <cellStyle name="COL HEADINGS 5 2 3" xfId="7903" xr:uid="{E87EA287-1E2C-461A-83B2-52B6CB2232EB}"/>
    <cellStyle name="COL HEADINGS 5 2 4" xfId="7847" xr:uid="{022058E8-0A15-4246-ABFE-5E12CBD95D83}"/>
    <cellStyle name="COL HEADINGS 5 2 5" xfId="7968" xr:uid="{971BC85A-9CB6-497C-9CBB-0A9386256B3A}"/>
    <cellStyle name="COL HEADINGS 5 2 6" xfId="7828" xr:uid="{342991A9-E7AA-46AE-AB7C-D6DC7586E19A}"/>
    <cellStyle name="COL HEADINGS 5 2 7" xfId="7991" xr:uid="{39516721-B235-4BCF-AF15-8FD2BA13151A}"/>
    <cellStyle name="COL HEADINGS 5 3" xfId="3488" xr:uid="{C9DAC796-C1A4-47B5-994F-D0D8FFA729BB}"/>
    <cellStyle name="COL HEADINGS 5 3 2" xfId="7783" xr:uid="{9EB6BDC5-2389-40C9-B8DA-D3B5AC9990D8}"/>
    <cellStyle name="COL HEADINGS 5 3 2 2" xfId="8030" xr:uid="{110B80C2-6F17-43BA-8B6C-CFD2C2B27724}"/>
    <cellStyle name="COL HEADINGS 5 3 2 3" xfId="7957" xr:uid="{EDEFE54A-291D-4AA6-9186-861838F4A46F}"/>
    <cellStyle name="COL HEADINGS 5 3 2 4" xfId="8062" xr:uid="{675B6D46-46F1-48FE-8F89-B03EB3A3D6AC}"/>
    <cellStyle name="COL HEADINGS 5 3 2 5" xfId="8093" xr:uid="{59F45FFD-545F-4536-8748-99DFF2657108}"/>
    <cellStyle name="COL HEADINGS 5 3 2 6" xfId="8120" xr:uid="{E6332E97-4341-4A54-A766-DF480B6B9ECD}"/>
    <cellStyle name="COL HEADINGS 5 3 2 7" xfId="8150" xr:uid="{2CC546B4-D3F5-46CE-AB0E-382FE2D71239}"/>
    <cellStyle name="COL HEADINGS 5 3 2 8" xfId="8180" xr:uid="{66FE5877-134C-49E1-83AE-C12835738CC7}"/>
    <cellStyle name="COL HEADINGS 5 3 3" xfId="7852" xr:uid="{871484C5-F0FA-4B0D-9D3F-CC0FF00AC37C}"/>
    <cellStyle name="COL HEADINGS 5 3 4" xfId="7986" xr:uid="{2387C565-9F5A-4E79-950E-2947A3439981}"/>
    <cellStyle name="COL HEADINGS 5 3 5" xfId="7895" xr:uid="{5E66EDA7-3494-4732-85FB-AD10557BAF55}"/>
    <cellStyle name="COL HEADINGS 5 3 6" xfId="7998" xr:uid="{58EC0F9A-9A6E-463C-A849-841A65E90DA4}"/>
    <cellStyle name="COL HEADINGS 5 3 7" xfId="7876" xr:uid="{DF84C4FE-7326-4B76-8711-51AD081AC37A}"/>
    <cellStyle name="COL HEADINGS 5 4" xfId="7777" xr:uid="{8367D804-E16A-41D8-98EE-80FC2B7893C4}"/>
    <cellStyle name="COL HEADINGS 5 4 2" xfId="8028" xr:uid="{BA408548-B927-4C8B-8878-E36569F665D1}"/>
    <cellStyle name="COL HEADINGS 5 4 3" xfId="7959" xr:uid="{7A60D5D0-3359-4D08-9C6E-8945E310469D}"/>
    <cellStyle name="COL HEADINGS 5 4 4" xfId="8060" xr:uid="{A1B42750-8E73-461E-8B34-90A316FEC1E1}"/>
    <cellStyle name="COL HEADINGS 5 4 5" xfId="8091" xr:uid="{A5588977-13EF-4639-A73C-CC9ABB2BD4F3}"/>
    <cellStyle name="COL HEADINGS 5 4 6" xfId="8118" xr:uid="{01D75F75-D21B-4194-A18B-3180E199DE03}"/>
    <cellStyle name="COL HEADINGS 5 4 7" xfId="8148" xr:uid="{D38B47CF-427A-4881-807E-05F1F6432C07}"/>
    <cellStyle name="COL HEADINGS 5 4 8" xfId="8178" xr:uid="{3ABA3012-D9F2-4B74-8C56-3B580581E005}"/>
    <cellStyle name="COL HEADINGS 5 5" xfId="8017" xr:uid="{2D69F8A2-4A8A-4EA0-88C2-962FBC6581B1}"/>
    <cellStyle name="COL HEADINGS 5 6" xfId="7985" xr:uid="{4CA04326-5D3F-4960-B48C-370448BC3D17}"/>
    <cellStyle name="COL HEADINGS 5 7" xfId="7970" xr:uid="{1D42EAB9-4188-40E4-ABD4-360024B6B167}"/>
    <cellStyle name="COL HEADINGS 5 8" xfId="7936" xr:uid="{352CF9F8-3F6E-47CA-B1C6-D9C4A6532E79}"/>
    <cellStyle name="COL HEADINGS 5 9" xfId="7990" xr:uid="{6B95DC55-CBC1-4F3B-9B9D-3E1F5D501569}"/>
    <cellStyle name="COL HEADINGS 6" xfId="3491" xr:uid="{BE1EA1C5-3625-48E9-9A5D-D8274D80A89A}"/>
    <cellStyle name="COL HEADINGS 6 2" xfId="7786" xr:uid="{DEE78F67-5C81-4471-A14E-7D927354BC00}"/>
    <cellStyle name="COL HEADINGS 6 2 2" xfId="8033" xr:uid="{BD7D3A17-E7E5-4EF0-AB83-AAB08B5B81E1}"/>
    <cellStyle name="COL HEADINGS 6 2 3" xfId="7954" xr:uid="{27968AD3-8EA5-4D9C-AC19-88F2DF6C6186}"/>
    <cellStyle name="COL HEADINGS 6 2 4" xfId="8065" xr:uid="{CC870AE8-7B6B-4FE2-A0A9-926022DC7E32}"/>
    <cellStyle name="COL HEADINGS 6 2 5" xfId="8096" xr:uid="{A60A51CE-2E2F-4D9C-98F6-E1CFBBF5DE94}"/>
    <cellStyle name="COL HEADINGS 6 2 6" xfId="8123" xr:uid="{959721CB-60D1-4A90-AFBB-06CAD5924D3E}"/>
    <cellStyle name="COL HEADINGS 6 2 7" xfId="8153" xr:uid="{27FE7C19-BB6C-45AE-A323-26AA608C2E99}"/>
    <cellStyle name="COL HEADINGS 6 2 8" xfId="8183" xr:uid="{12A6714E-499A-4AC5-B31D-C83552E57296}"/>
    <cellStyle name="COL HEADINGS 6 3" xfId="7934" xr:uid="{524EE7E2-41BC-489E-8830-D4B0102F0BE5}"/>
    <cellStyle name="COL HEADINGS 6 4" xfId="7833" xr:uid="{70FCAC5D-750A-45C6-8E72-9B6E58D36F29}"/>
    <cellStyle name="COL HEADINGS 6 5" xfId="8003" xr:uid="{34E831AD-45C9-4344-8FD6-8D7D8A3244D5}"/>
    <cellStyle name="COL HEADINGS 6 6" xfId="7939" xr:uid="{0DB597BC-1486-4115-BBF1-2F79EE4D4896}"/>
    <cellStyle name="COL HEADINGS 6 7" xfId="7938" xr:uid="{45174C1B-C9C7-416A-84FD-28169D74CA2F}"/>
    <cellStyle name="COL HEADINGS 7" xfId="3510" xr:uid="{7ACA2CA3-C79B-4979-9FE6-5EEE6E7F4B29}"/>
    <cellStyle name="COL HEADINGS 7 2" xfId="7801" xr:uid="{C53B32A5-A212-4BDF-8A61-A24A2A297A24}"/>
    <cellStyle name="COL HEADINGS 7 2 2" xfId="8048" xr:uid="{C8A3C468-3252-4511-B04C-96D88CBDE461}"/>
    <cellStyle name="COL HEADINGS 7 2 3" xfId="7947" xr:uid="{DBB5FC9D-F47A-4C8C-AAB7-343870B758CD}"/>
    <cellStyle name="COL HEADINGS 7 2 4" xfId="8080" xr:uid="{01A2AD72-7C80-4E11-87A6-6FF12956F0D2}"/>
    <cellStyle name="COL HEADINGS 7 2 5" xfId="8111" xr:uid="{8CF9A73E-06A4-4A3D-B4CD-8F36A2DF93B0}"/>
    <cellStyle name="COL HEADINGS 7 2 6" xfId="8138" xr:uid="{A1BC9C05-33B2-42A5-9926-0AC868E711DE}"/>
    <cellStyle name="COL HEADINGS 7 2 7" xfId="8168" xr:uid="{3D1F324C-F599-46AC-B67A-5D4C5E8E7C30}"/>
    <cellStyle name="COL HEADINGS 7 2 8" xfId="8198" xr:uid="{9E06D416-811A-4F5B-B1E7-AEBEE8C7006B}"/>
    <cellStyle name="COL HEADINGS 7 3" xfId="7932" xr:uid="{BCAC86EA-A8B8-49D0-B076-1D1B3D0BEFA7}"/>
    <cellStyle name="COL HEADINGS 7 4" xfId="7900" xr:uid="{5669FCFB-7671-485A-9930-C464F92EAAFD}"/>
    <cellStyle name="COL HEADINGS 7 5" xfId="7845" xr:uid="{1373A90B-FDCC-4B75-8D89-C288CF84F155}"/>
    <cellStyle name="COL HEADINGS 7 6" xfId="7865" xr:uid="{550EF86C-33E6-4F1D-BEF5-83C1FC6C77D3}"/>
    <cellStyle name="COL HEADINGS 7 7" xfId="7927" xr:uid="{EE619194-9D4D-41E2-8299-A030C2D01FA5}"/>
    <cellStyle name="COL HEADINGS 8" xfId="7724" xr:uid="{6C68541B-1484-4882-942C-607BAF1937C5}"/>
    <cellStyle name="COL HEADINGS 8 2" xfId="8022" xr:uid="{9F9259E6-2436-447B-8CAA-0699E76F076F}"/>
    <cellStyle name="COL HEADINGS 8 3" xfId="7915" xr:uid="{B70BAB58-755A-4A90-8FE9-A0230011392A}"/>
    <cellStyle name="COL HEADINGS 8 4" xfId="8016" xr:uid="{42716756-7780-4279-80ED-9309709CE2B1}"/>
    <cellStyle name="COL HEADINGS 8 5" xfId="7995" xr:uid="{16594F65-356D-40D7-B6CC-09F4E10D9208}"/>
    <cellStyle name="COL HEADINGS 8 6" xfId="8020" xr:uid="{BE0960B2-4FD3-4FBA-9241-28462078AF05}"/>
    <cellStyle name="COL HEADINGS 8 7" xfId="8083" xr:uid="{04EEB6C3-20C6-4E78-8437-5CAD892CA65D}"/>
    <cellStyle name="COL HEADINGS 8 8" xfId="7836" xr:uid="{C0D0AAEB-00D4-4706-8BBD-A86107CFF65E}"/>
    <cellStyle name="COL HEADINGS 9" xfId="7935" xr:uid="{0697BE74-569B-481E-B21B-C3601E4F3075}"/>
    <cellStyle name="ColHeading" xfId="1702" xr:uid="{852C4F87-B510-43B6-B895-6E99F654FAD3}"/>
    <cellStyle name="COLUMN HEAD" xfId="5593" xr:uid="{FE17D4F6-7D7E-4B34-9454-904D1BDA012E}"/>
    <cellStyle name="COLUMN HEAD 2" xfId="5594" xr:uid="{7076063E-1DAA-4A12-9E3A-74A03C208037}"/>
    <cellStyle name="COLUMN HEAD 9" xfId="5595" xr:uid="{30DE4ABD-7953-46B6-AABD-57B239E2366C}"/>
    <cellStyle name="COLUMN HEAD 9 2" xfId="5596" xr:uid="{84E96668-A9B3-4A67-AAEE-F593434DD3F0}"/>
    <cellStyle name="column1" xfId="5597" xr:uid="{D86B2C31-83AA-490F-819D-CD04EAF17232}"/>
    <cellStyle name="column1 2" xfId="5598" xr:uid="{6A294994-05A8-401C-A42C-0CD6F6D67938}"/>
    <cellStyle name="column1 3" xfId="5599" xr:uid="{73CFA98E-FFA4-4DA0-9D48-A39FBFFDB7FF}"/>
    <cellStyle name="column1 4" xfId="5600" xr:uid="{B64CA359-5556-4E74-A6A2-7B95D3197774}"/>
    <cellStyle name="column1 5" xfId="5601" xr:uid="{5522C9E6-738F-457D-B4DC-4E1E66530363}"/>
    <cellStyle name="column1 6" xfId="5602" xr:uid="{7AA517E4-0B2F-461F-9909-80914770B3D5}"/>
    <cellStyle name="column1Big" xfId="5603" xr:uid="{7765DBD2-6A32-4237-84E1-2335AA9C94E5}"/>
    <cellStyle name="column1Big 2" xfId="5604" xr:uid="{6747C24C-A81A-4C8A-80A4-83784AD0D67E}"/>
    <cellStyle name="column1Date" xfId="5605" xr:uid="{047E5ED4-D98C-468B-916C-4E1343767FAB}"/>
    <cellStyle name="column1Date 2" xfId="5606" xr:uid="{39FCBFE3-B5B3-4E7C-9733-46C1870D79AF}"/>
    <cellStyle name="column1Date 3" xfId="5607" xr:uid="{F23F4686-6F24-4AEA-8AB5-70DA42C62927}"/>
    <cellStyle name="column1Date 4" xfId="5608" xr:uid="{51A8A8B2-88DA-411A-9C2D-390262DE3421}"/>
    <cellStyle name="column1Date 5" xfId="5609" xr:uid="{8FF3946F-650D-49C0-B663-2812093AAC85}"/>
    <cellStyle name="column1Date 6" xfId="5610" xr:uid="{0A0E9659-E383-413D-AE08-61A92DA4367B}"/>
    <cellStyle name="ColumnHeaderNormal" xfId="1703" xr:uid="{8ADFDDEB-A1FD-4242-89A3-7DE611880750}"/>
    <cellStyle name="ColumnHeaderNormal 2" xfId="1704" xr:uid="{3D5AE28E-48E1-496D-8A24-C2B86BBA6E8B}"/>
    <cellStyle name="ColumnHeadings" xfId="5611" xr:uid="{C3C69D88-19C5-4FAA-A847-F7382BCE1562}"/>
    <cellStyle name="ColumnHeadings2" xfId="5612" xr:uid="{6959A2D8-0216-4CA5-8E09-842003F0ED8F}"/>
    <cellStyle name="Comma" xfId="8203" builtinId="3"/>
    <cellStyle name="Comma  - Style1" xfId="5613" xr:uid="{FFA0E89D-F1D2-4151-9E51-68EED8C8336C}"/>
    <cellStyle name="Comma  - Style2" xfId="5614" xr:uid="{8AE23C3A-410B-4581-A5EC-4C7E5F17453D}"/>
    <cellStyle name="Comma  - Style3" xfId="5615" xr:uid="{C217F362-70E6-4E62-BC73-217891B719D4}"/>
    <cellStyle name="Comma  - Style4" xfId="5616" xr:uid="{DF8EE119-FF2F-4933-AAB4-A7B99A6442BA}"/>
    <cellStyle name="Comma  - Style5" xfId="5617" xr:uid="{95E88BB1-E683-49C4-BD7A-7DBECBEE00C4}"/>
    <cellStyle name="Comma  - Style6" xfId="5618" xr:uid="{141745AF-F4F6-4855-BEAD-026867DF3BFB}"/>
    <cellStyle name="Comma  - Style7" xfId="5619" xr:uid="{2DE83F6C-FB1B-48BA-BC28-3F5BF00C57DB}"/>
    <cellStyle name="Comma  - Style8" xfId="5620" xr:uid="{5DFE366D-0114-4569-951F-5D120F402DCC}"/>
    <cellStyle name="Comma (0)" xfId="1705" xr:uid="{CBDBCFF8-D3BA-4E9A-9093-D40AFF63CA43}"/>
    <cellStyle name="Comma [00]" xfId="5621" xr:uid="{1C6D24D8-4DAF-41BA-91C1-19AD20A4CDAB}"/>
    <cellStyle name="Comma [00] 2" xfId="5622" xr:uid="{86A90DA3-7F92-41D8-99DA-B5678BE1E09F}"/>
    <cellStyle name="Comma [00] 3" xfId="5623" xr:uid="{D929BFD1-553F-4632-835A-B30495718B57}"/>
    <cellStyle name="Comma [00] 4" xfId="5624" xr:uid="{AB1616FE-2AA5-4EF1-BFB8-5042FCA9E7CC}"/>
    <cellStyle name="Comma [00] 5" xfId="5625" xr:uid="{F2AF82A6-7C43-487C-8861-7186A5B2F7A5}"/>
    <cellStyle name="Comma [00] 6" xfId="5626" xr:uid="{328E33BF-7F55-4F2F-86AD-D09F04943BCE}"/>
    <cellStyle name="Comma [00] 7" xfId="5627" xr:uid="{6F1F00C5-2447-4E6A-BF54-E00CA8C078DD}"/>
    <cellStyle name="Comma [00] 8" xfId="5628" xr:uid="{684C9740-13ED-4970-B888-51072E77C51E}"/>
    <cellStyle name="Comma [2]" xfId="1706" xr:uid="{9ECC7FBD-7EE9-4C51-BD3A-C71067A5F8DF}"/>
    <cellStyle name="Comma 0" xfId="1707" xr:uid="{F62A0A9B-5FD3-4FB1-A5B8-5B6B58A2C501}"/>
    <cellStyle name="Comma 0 2" xfId="5629" xr:uid="{14198848-069D-4B09-BAFB-D803CA695738}"/>
    <cellStyle name="Comma 0*" xfId="5630" xr:uid="{11887420-BEC2-491C-98BB-CEF99DCA4C2E}"/>
    <cellStyle name="Comma 2" xfId="1708" xr:uid="{E3A4DE12-53E1-4150-9C9D-7EEAE8A3508C}"/>
    <cellStyle name="Comma 2 2" xfId="1709" xr:uid="{472A08A6-62C5-44EA-B7CF-06EBC8689A82}"/>
    <cellStyle name="Comma 2 2 2" xfId="3370" xr:uid="{8D58FD24-847C-4969-A7CF-4F45994678EF}"/>
    <cellStyle name="Comma 2 2 3" xfId="7727" xr:uid="{604681E5-11D9-44CC-9499-124BA0177193}"/>
    <cellStyle name="Comma 2 3" xfId="1710" xr:uid="{98A66F5A-3AA6-42C4-B625-85EAC9BF4084}"/>
    <cellStyle name="Comma 2 3 2" xfId="3396" xr:uid="{B6786C96-E947-4116-BE57-C9B5250ABDFA}"/>
    <cellStyle name="Comma 2 4" xfId="3452" xr:uid="{885DBC6F-F46E-4937-B29D-CFFC8A668814}"/>
    <cellStyle name="Comma 2 5" xfId="5631" xr:uid="{FCB128D0-73C0-4F83-B384-60EB35823ED2}"/>
    <cellStyle name="Comma 2 6" xfId="5632" xr:uid="{FCB43974-0EFB-47C2-8820-20D6488BEE3B}"/>
    <cellStyle name="Comma 3" xfId="1711" xr:uid="{02843C32-F9C0-44EE-BFA9-0ED6F8CC2309}"/>
    <cellStyle name="Comma 3 2" xfId="1712" xr:uid="{118FFBEB-00FE-4BFD-AEB4-21DB4C470F59}"/>
    <cellStyle name="Comma 3 3" xfId="1713" xr:uid="{20A38E6F-7210-4525-A9F3-BFA5B5F9F175}"/>
    <cellStyle name="Comma 3 3 2" xfId="7563" xr:uid="{A006A05F-B34D-4E88-9D97-FD3F51EA5CEE}"/>
    <cellStyle name="Comma 3 4" xfId="1714" xr:uid="{F172447C-869D-4926-BEEA-6A47CB0C6BA8}"/>
    <cellStyle name="Comma 3 5" xfId="3389" xr:uid="{15CBFA8E-D324-4E8A-81D5-8A6C913AAA33}"/>
    <cellStyle name="Comma 3 6" xfId="7740" xr:uid="{B2BE043A-75D5-47E7-AD22-162CC5E2E30E}"/>
    <cellStyle name="Comma 4" xfId="1715" xr:uid="{8B35C9F4-AE91-425B-9D71-8F5DA5580E6F}"/>
    <cellStyle name="Comma 4 2" xfId="1716" xr:uid="{59D2F194-C49A-4608-9998-2B11E2650633}"/>
    <cellStyle name="Comma 5" xfId="1717" xr:uid="{08B9BA1B-3C5B-4435-BA64-17D3DD645F62}"/>
    <cellStyle name="Comma 5 2" xfId="1718" xr:uid="{7D0458B4-AF6B-4DB3-ACA9-5E9785F32F14}"/>
    <cellStyle name="Comma 6" xfId="1719" xr:uid="{73CAD5BA-A7D2-41E9-842F-71AF20A4D668}"/>
    <cellStyle name="Comma 6 2" xfId="1720" xr:uid="{4006C4BB-77CF-4D14-B1D4-EA220B59F67C}"/>
    <cellStyle name="Comma 63" xfId="1721" xr:uid="{F305EF14-0F0B-4BD7-8880-311FC35BBAC7}"/>
    <cellStyle name="Comma 7" xfId="3487" xr:uid="{1A15B877-A6BE-4B8A-970C-029A902AA57A}"/>
    <cellStyle name="Comma 8" xfId="7782" xr:uid="{083B5B5D-40DF-4BC2-813A-205A6775A886}"/>
    <cellStyle name="Comma 9" xfId="7725" xr:uid="{9FA20782-4BAD-4AE7-ACAE-8E7B1E24F0DB}"/>
    <cellStyle name="Comma[2]" xfId="5633" xr:uid="{E2E5DB73-DB60-45E6-BB32-B2EE421BA06C}"/>
    <cellStyle name="Comma[2] 2" xfId="5634" xr:uid="{24C7A01D-9696-44E2-BDED-9D86451EE15A}"/>
    <cellStyle name="Comma0" xfId="5635" xr:uid="{14715FB3-363F-4230-9502-175D5D005F03}"/>
    <cellStyle name="Comma0 2" xfId="5636" xr:uid="{2A268A32-5494-4241-860B-897A3B0125D2}"/>
    <cellStyle name="Comma0 3" xfId="5637" xr:uid="{4697C2A4-AB5F-4288-94C4-869BC1BD6DB0}"/>
    <cellStyle name="Comma0 4" xfId="5638" xr:uid="{8C41F529-F634-4F64-A345-239E30F7724F}"/>
    <cellStyle name="Comma0 5" xfId="5639" xr:uid="{91B15BB8-5A46-4BAA-B435-C65434640FC1}"/>
    <cellStyle name="Comma0 6" xfId="5640" xr:uid="{A862A85A-BC56-4A60-BDCA-69598A4C58FB}"/>
    <cellStyle name="Comma0 7" xfId="5641" xr:uid="{9DF40AEA-3F34-486B-B2CE-62F26FEC6583}"/>
    <cellStyle name="Comma0 8" xfId="5642" xr:uid="{0D94ACD9-57B7-4A4E-AA8B-579E15898EF3}"/>
    <cellStyle name="Comment" xfId="5643" xr:uid="{CC4E0D32-AE9B-4700-8476-A3B176C9648C}"/>
    <cellStyle name="Comment 2" xfId="5644" xr:uid="{45D1A55B-E148-4F1E-B203-EB284F28FD21}"/>
    <cellStyle name="Company" xfId="1722" xr:uid="{2938DD9B-6902-40F3-A225-D25AAFC4E084}"/>
    <cellStyle name="Company name" xfId="1723" xr:uid="{254DF585-6358-49AB-85C7-7EE1EC4252A2}"/>
    <cellStyle name="CompanyName" xfId="5645" xr:uid="{F86B306D-05F2-48B7-BD0D-29447354A2D1}"/>
    <cellStyle name="CompanyName 2" xfId="5646" xr:uid="{D9345C9E-5515-4DFF-97DE-BF5A2A453A73}"/>
    <cellStyle name="CompanyName 3" xfId="5647" xr:uid="{A7E5FF91-C34C-4D6D-B405-941FBBEC8CB0}"/>
    <cellStyle name="CompanyName 4" xfId="5648" xr:uid="{EB5BE812-55C8-4F75-8C57-791E5DEB9573}"/>
    <cellStyle name="CompanyName 5" xfId="5649" xr:uid="{DABF5B5E-9FC7-46FD-B199-61BB37C529A8}"/>
    <cellStyle name="CompanyName 6" xfId="5650" xr:uid="{F4C0BCB4-A11F-4B63-9278-4D03436DA35C}"/>
    <cellStyle name="CurRatio" xfId="1724" xr:uid="{234C3C73-A5DB-45D6-9844-89E9F6FC2539}"/>
    <cellStyle name="Currency (3)" xfId="1725" xr:uid="{157376B7-1BC2-49D2-BDFC-A8A61EC8DC98}"/>
    <cellStyle name="Currency [00]" xfId="5657" xr:uid="{30E3576D-8D6D-4F5F-A90E-022B0BF27D5C}"/>
    <cellStyle name="Currency [00] 2" xfId="5658" xr:uid="{0CE1313A-50EB-41C0-B6C3-4791B640668C}"/>
    <cellStyle name="Currency [00] 3" xfId="5659" xr:uid="{730115E4-42DE-43F2-A9E9-25E088F390A6}"/>
    <cellStyle name="Currency [00] 4" xfId="5660" xr:uid="{3E59D5C6-2493-4F18-BB88-A532A677D942}"/>
    <cellStyle name="Currency [00] 5" xfId="5661" xr:uid="{8BC2A2FA-AE08-47A1-87B7-54EF91DEDE88}"/>
    <cellStyle name="Currency [00] 6" xfId="5662" xr:uid="{F5FFF8FD-5522-4A96-B87C-6C0CF258B768}"/>
    <cellStyle name="Currency [00] 7" xfId="5663" xr:uid="{FA8223D9-A7F0-47CD-AFEA-743C91498CE4}"/>
    <cellStyle name="Currency [00] 8" xfId="5664" xr:uid="{F45E5175-E56C-4C1E-84E7-ED8328F2FE02}"/>
    <cellStyle name="Currency [2]" xfId="3319" xr:uid="{89F1EC14-4662-4896-8DBE-56952FFE0EAC}"/>
    <cellStyle name="Currency $" xfId="5651" xr:uid="{0B48C7B6-B4DE-4267-BBA5-B131B6A15D33}"/>
    <cellStyle name="Currency $ 2" xfId="5652" xr:uid="{033B169C-A85F-4019-87A8-C2761AD9C5FC}"/>
    <cellStyle name="Currency $ 3" xfId="5653" xr:uid="{4D5AC109-0ADA-473D-822A-3896D612EAE7}"/>
    <cellStyle name="Currency $ 4" xfId="5654" xr:uid="{9AE43E1B-DDD1-4A04-82C6-616F3F2DBEC5}"/>
    <cellStyle name="Currency $ 5" xfId="5655" xr:uid="{B6677503-3183-46AF-BC32-171AF5E25A70}"/>
    <cellStyle name="Currency $ 6" xfId="5656" xr:uid="{6B66876B-EBE0-4FC0-A25F-A41872E62F38}"/>
    <cellStyle name="Currency 0" xfId="1726" xr:uid="{A90A8DD3-495E-4FDD-9A04-CFF83527B8ED}"/>
    <cellStyle name="Currency 0 2" xfId="5665" xr:uid="{A7438722-AFDB-44F9-961A-7CD1E90856DC}"/>
    <cellStyle name="Currency 2" xfId="1727" xr:uid="{0C7DF8A5-3FF2-44E5-AE2D-43AE4E90EFEE}"/>
    <cellStyle name="Currency 2 10" xfId="1728" xr:uid="{70449741-C057-4C79-9473-DB6EDB41C04B}"/>
    <cellStyle name="Currency 2 11" xfId="1729" xr:uid="{2A0AB6AD-1B63-416D-B5F6-4C5341D89AF6}"/>
    <cellStyle name="Currency 2 12" xfId="1730" xr:uid="{F24B85B6-239C-43B1-9445-9700A4B28F39}"/>
    <cellStyle name="Currency 2 13" xfId="1731" xr:uid="{83ABFA88-D9E3-4D98-A492-75C5CAFA2EA6}"/>
    <cellStyle name="Currency 2 14" xfId="1732" xr:uid="{6A9A81DB-4452-4EA8-A95B-0D8229CEF95A}"/>
    <cellStyle name="Currency 2 15" xfId="1733" xr:uid="{BBB9F5A4-8467-49BC-859A-EF88D9B9D450}"/>
    <cellStyle name="Currency 2 16" xfId="1734" xr:uid="{69989DA7-FBD3-463F-A662-35E898769843}"/>
    <cellStyle name="Currency 2 17" xfId="1735" xr:uid="{4D9EC410-5762-4B33-9601-190CCB40C5AD}"/>
    <cellStyle name="Currency 2 18" xfId="1736" xr:uid="{34EEC4A9-5497-4800-B633-F1AA20D110CF}"/>
    <cellStyle name="Currency 2 19" xfId="1737" xr:uid="{E2B4CBBC-47E1-434E-89E7-5E9A900372A7}"/>
    <cellStyle name="Currency 2 2" xfId="1738" xr:uid="{70F425A0-F1A9-424C-9D5A-3332467FB343}"/>
    <cellStyle name="Currency 2 2 2" xfId="5666" xr:uid="{385B518F-099D-4990-94D4-1CCFBE17D2F1}"/>
    <cellStyle name="Currency 2 20" xfId="1739" xr:uid="{71863AF3-FBC0-4C1B-9380-03DCFB1F2B57}"/>
    <cellStyle name="Currency 2 21" xfId="1740" xr:uid="{33B2D07B-709F-456C-A498-CB48A8FC619F}"/>
    <cellStyle name="Currency 2 22" xfId="1741" xr:uid="{6241DBE8-3CDB-4B92-927A-CAB1683F95AC}"/>
    <cellStyle name="Currency 2 23" xfId="1742" xr:uid="{52A3F372-E404-4B6A-90D8-DF47DE26B044}"/>
    <cellStyle name="Currency 2 24" xfId="1743" xr:uid="{DDC87A5C-CD5A-4715-8EE6-568EA5950695}"/>
    <cellStyle name="Currency 2 25" xfId="1744" xr:uid="{0A932CAE-1C62-4316-A19C-67CE8AFF6E62}"/>
    <cellStyle name="Currency 2 25 2" xfId="1745" xr:uid="{688EE428-E2B5-4D80-9126-B00255DBFED6}"/>
    <cellStyle name="Currency 2 3" xfId="1746" xr:uid="{6AFF5B6C-C86C-4B7B-98B2-D250F7893623}"/>
    <cellStyle name="Currency 2 3 2" xfId="5667" xr:uid="{983995AB-AACC-4F5A-B870-A137F72C3C09}"/>
    <cellStyle name="Currency 2 4" xfId="1747" xr:uid="{77269B23-52FB-432B-A415-3CF0C0E9B7B9}"/>
    <cellStyle name="Currency 2 4 2" xfId="5668" xr:uid="{F7461F91-4AF4-4BEE-B3A4-607C8457CE57}"/>
    <cellStyle name="Currency 2 5" xfId="1748" xr:uid="{7CE0F486-AD2D-4064-B078-D890C4110241}"/>
    <cellStyle name="Currency 2 5 2" xfId="5669" xr:uid="{6F66300C-B619-4627-81BC-F546C070EB20}"/>
    <cellStyle name="Currency 2 6" xfId="1749" xr:uid="{EEBC12FF-1A99-45B1-BD61-14C3A411444E}"/>
    <cellStyle name="Currency 2 6 2" xfId="5670" xr:uid="{AFD5A57A-8FBD-44AB-94CA-9E9CCBE60EAA}"/>
    <cellStyle name="Currency 2 7" xfId="1750" xr:uid="{7176ECE3-12DF-4BAD-9C7A-7F1A4374E693}"/>
    <cellStyle name="Currency 2 8" xfId="1751" xr:uid="{706320F8-0901-4380-8C72-EFDEA49594D0}"/>
    <cellStyle name="Currency 2 9" xfId="1752" xr:uid="{B3337A03-EBBF-4CFB-95DB-4770F23B03AB}"/>
    <cellStyle name="Currency 3" xfId="1753" xr:uid="{5DC66FF2-5D6E-48C6-9069-4403D22F6B57}"/>
    <cellStyle name="Currency 3 2" xfId="1754" xr:uid="{55F36A87-1E30-4CA7-A7DB-F2211BC8FA25}"/>
    <cellStyle name="Currency 3 3" xfId="3367" xr:uid="{422681B6-5589-4BC6-AE31-1093DEB7FFE3}"/>
    <cellStyle name="Currency 4" xfId="1755" xr:uid="{0FC0919B-731D-405F-9AFE-C73259F9E116}"/>
    <cellStyle name="Currency 4 2" xfId="1756" xr:uid="{1C54C738-C636-48C2-85BA-82DCCB441DE7}"/>
    <cellStyle name="Currency 4 3" xfId="3371" xr:uid="{7A44BAC4-7739-470F-BB29-3712188DC3FE}"/>
    <cellStyle name="Currency 5" xfId="1757" xr:uid="{BFDFBA24-3A94-4FEE-BAFB-FFECB0B0FA1F}"/>
    <cellStyle name="Currency 5 2" xfId="1758" xr:uid="{A1817DF0-56CB-4434-A9A5-36D30C886F28}"/>
    <cellStyle name="Currency 5 3" xfId="3372" xr:uid="{668B55EF-DB27-49ED-84C9-709183832D1C}"/>
    <cellStyle name="Currency 6" xfId="3373" xr:uid="{5A9F6AFB-F37F-4EFA-8A7B-B226FC55604F}"/>
    <cellStyle name="Currency 7" xfId="3374" xr:uid="{34C069D4-1D4F-46B1-92CD-5743DFD6CFF8}"/>
    <cellStyle name="Currency 8" xfId="3375" xr:uid="{E55CF81F-CC32-403D-981A-76FD5FD9F2FD}"/>
    <cellStyle name="Currency 9" xfId="3376" xr:uid="{A8629989-B5A9-4276-A1A9-EB618B20CED8}"/>
    <cellStyle name="Currency[2]" xfId="5671" xr:uid="{A04D3E0E-AC8E-4DC4-9FB1-C50849F934DA}"/>
    <cellStyle name="Currency[2] 2" xfId="5672" xr:uid="{6441915D-7A6E-4946-AD8A-E66D539A2785}"/>
    <cellStyle name="Currency[2] 3" xfId="5673" xr:uid="{8E045B07-BD0A-4E3A-B4C9-E2389F9DE6C3}"/>
    <cellStyle name="Currency[2] 4" xfId="5674" xr:uid="{D72463EB-1D63-4E36-9385-1BF05BED7E83}"/>
    <cellStyle name="Currency[2] 5" xfId="5675" xr:uid="{C006C8DF-1AE4-4A74-B3EA-7A27DA4F548D}"/>
    <cellStyle name="Currency[2] 6" xfId="5676" xr:uid="{6EC9D2D3-034D-40F2-933B-E2878226DA3E}"/>
    <cellStyle name="Currency[2] 7" xfId="5677" xr:uid="{B3BBFC12-6BA5-4AAC-9D17-C91F954BDC26}"/>
    <cellStyle name="Currency[2] 8" xfId="5678" xr:uid="{7D986685-D5FD-4DF6-B411-3467B11FEDA8}"/>
    <cellStyle name="Currency0" xfId="5679" xr:uid="{D9C79C5F-2197-44F8-9A4E-C167EB920563}"/>
    <cellStyle name="Currency0 2" xfId="5680" xr:uid="{52AEEB42-1E3A-4C59-9C57-C804B19CC9CB}"/>
    <cellStyle name="Currency0 3" xfId="5681" xr:uid="{66A8122A-189E-430E-AACB-4BA8F0570C0C}"/>
    <cellStyle name="Currency0 4" xfId="5682" xr:uid="{24F6B9E0-D625-4EC3-9DC0-58F79B4089CA}"/>
    <cellStyle name="Currency0 5" xfId="5683" xr:uid="{AC8EBDDF-1E40-4472-9955-F10D3AEDCED1}"/>
    <cellStyle name="Currency0 6" xfId="5684" xr:uid="{779BFDEA-F7D1-4D5F-AAA8-5C51971EF17D}"/>
    <cellStyle name="Currency0 7" xfId="5685" xr:uid="{51D510C8-1FF2-4259-A791-0B5D7469DCE9}"/>
    <cellStyle name="Currency0 8" xfId="5686" xr:uid="{5B2B7EE0-7672-4D16-800D-D0FD0257A12F}"/>
    <cellStyle name="custom" xfId="5687" xr:uid="{F9A4EF09-6F70-41A9-B68F-747D8B46669D}"/>
    <cellStyle name="custom 2" xfId="5688" xr:uid="{D800C9BA-5495-4E2F-8FF7-B069EFC7B2D4}"/>
    <cellStyle name="custom 3" xfId="5689" xr:uid="{ECDF17E3-320E-4389-B91E-D38A05DD64F4}"/>
    <cellStyle name="custom 4" xfId="5690" xr:uid="{A8AF6760-2F09-4F50-AA4D-ECFCBADAE86E}"/>
    <cellStyle name="custom 5" xfId="5691" xr:uid="{0B310DB9-7F66-4BDF-9C21-EFCF6676D981}"/>
    <cellStyle name="custom 6" xfId="5692" xr:uid="{4A942814-D4FA-4A22-B630-F85D148A7D8A}"/>
    <cellStyle name="custom 7" xfId="5693" xr:uid="{1DB1A4B2-D2DB-4B74-9559-4B75F3501BD4}"/>
    <cellStyle name="custom 8" xfId="5694" xr:uid="{AEF0C4C1-A435-4567-B5C4-51DE36C37010}"/>
    <cellStyle name="D Table" xfId="5695" xr:uid="{01FACB0B-5205-42F0-A0C2-554728B32B37}"/>
    <cellStyle name="D Table 2" xfId="7806" xr:uid="{0FD198A9-67DC-4536-A037-AAB93140D202}"/>
    <cellStyle name="Dane wejściowe 2" xfId="3271" xr:uid="{C8FBC803-D903-4F3D-AC6D-6A11808D0CA8}"/>
    <cellStyle name="Dane wyjściowe 2" xfId="3272" xr:uid="{4C4703C7-D611-49C2-B00A-44E845F796B7}"/>
    <cellStyle name="Dash" xfId="5696" xr:uid="{C397CD8B-B7D4-467F-AA2F-2FD635BD5812}"/>
    <cellStyle name="Dash 2" xfId="5697" xr:uid="{C7BE2EAE-2DC9-4878-BB2F-B7EB48DBD51F}"/>
    <cellStyle name="Dash 3" xfId="5698" xr:uid="{36171125-BFCF-4B74-AC41-04C29BDA49E6}"/>
    <cellStyle name="Dash 4" xfId="5699" xr:uid="{748B5DB6-3438-40AF-B907-0D543085B4EE}"/>
    <cellStyle name="Dash 5" xfId="5700" xr:uid="{70C19903-22D7-4386-932A-FE2529EC9D5B}"/>
    <cellStyle name="Dash 6" xfId="5701" xr:uid="{066CB63C-9A42-458E-831A-3826B8CBD7E4}"/>
    <cellStyle name="data" xfId="3320" xr:uid="{6483CCDD-ACDF-4DC5-B3ED-A806BFE8EA1F}"/>
    <cellStyle name="Date" xfId="3321" xr:uid="{599457F3-99F4-4266-A20C-BC512BCF1CEA}"/>
    <cellStyle name="Date [mmm-yy]" xfId="1759" xr:uid="{4DAC9C9B-9625-4704-801C-A9961AF07885}"/>
    <cellStyle name="Date 2" xfId="5702" xr:uid="{4EAEE2D1-E653-456B-BFDF-C8BE7D6A6616}"/>
    <cellStyle name="Date 3" xfId="5703" xr:uid="{260D793D-073A-4ECC-8B65-66AE45A562FC}"/>
    <cellStyle name="Date 4" xfId="5704" xr:uid="{1F967A51-248D-4502-963C-8F41F0306F4F}"/>
    <cellStyle name="Date 5" xfId="5705" xr:uid="{24F09F2B-0DF1-4D55-945E-EE3444034D06}"/>
    <cellStyle name="Date 6" xfId="5706" xr:uid="{19531E18-B486-42F1-9FF1-BF6BD12DD064}"/>
    <cellStyle name="Date 7" xfId="5707" xr:uid="{66355E77-3043-4059-AAC7-BB415AA4ECBC}"/>
    <cellStyle name="Date 8" xfId="5708" xr:uid="{51DA85DA-6BA1-4860-AD51-27238A95156C}"/>
    <cellStyle name="Date Aligned" xfId="1760" xr:uid="{6702913A-CEDE-4033-B97B-9788C71A6505}"/>
    <cellStyle name="Date Aligned 2" xfId="5709" xr:uid="{E762C699-9CE7-4867-8664-D1A7285FA3D7}"/>
    <cellStyle name="Date E" xfId="5710" xr:uid="{5732B822-A2AD-4284-AA4C-6C214204914A}"/>
    <cellStyle name="Date Short" xfId="5711" xr:uid="{F03714AE-674D-47D6-A730-030B36911C6F}"/>
    <cellStyle name="Date_bby n" xfId="5712" xr:uid="{0BB91661-DD0B-4C0E-8E4E-5C250B4B310D}"/>
    <cellStyle name="Date2" xfId="5713" xr:uid="{2AB901BA-F1E7-4035-AE8F-4C6C6303F7DC}"/>
    <cellStyle name="DEC 7PT 1" xfId="5714" xr:uid="{4E0C7581-9953-4E05-A2BB-9BD8C3CCCD95}"/>
    <cellStyle name="DEC 7PT 1 2" xfId="5715" xr:uid="{0C0B42F6-67B4-4F98-A38D-D85FE743EA14}"/>
    <cellStyle name="DEC 7PT 2" xfId="5716" xr:uid="{6A8CC356-715E-4DA8-8CA6-F6B3722A8D2B}"/>
    <cellStyle name="DEC 7PT 2 2" xfId="5717" xr:uid="{736AEFD7-C755-4BE6-A855-EE0E6B67E4FD}"/>
    <cellStyle name="DEC 7PT 4" xfId="5718" xr:uid="{D2C3AB49-BDB6-4B58-9DD9-F795C5F6E965}"/>
    <cellStyle name="DEC 7PT 4 2" xfId="5719" xr:uid="{BDF9121D-DA31-4E7F-9E58-5F673A857017}"/>
    <cellStyle name="DEC 7PT 4A" xfId="5720" xr:uid="{EE6E9661-1B19-43B1-9868-8E0A5647C861}"/>
    <cellStyle name="DEC 7PT 4A 2" xfId="5721" xr:uid="{D087921A-6E00-4965-B046-D22847AA9716}"/>
    <cellStyle name="DEC 9PT 1" xfId="5722" xr:uid="{7DB22C82-A2C9-48AF-838A-151FC6460CE3}"/>
    <cellStyle name="DEC 9PT 1 2" xfId="5723" xr:uid="{80283F52-DC9D-4866-8499-F07E84011D43}"/>
    <cellStyle name="DEC 9PT 3" xfId="5724" xr:uid="{06EB24EA-85DC-45DB-8B83-EB622F2DF47B}"/>
    <cellStyle name="DEC 9PT 3 2" xfId="5725" xr:uid="{19641719-3260-4784-9AEE-13EDC6A4A8C0}"/>
    <cellStyle name="DEC 9PT 5" xfId="5726" xr:uid="{CB10477A-FA74-4D92-9524-0C73E2C040E2}"/>
    <cellStyle name="DEC 9PT 5 2" xfId="5727" xr:uid="{17486613-C912-45C6-9518-B984D7287BF4}"/>
    <cellStyle name="Decimal" xfId="5728" xr:uid="{27137FA5-C11F-4FFE-B83F-FA640957F716}"/>
    <cellStyle name="decimal 1" xfId="5729" xr:uid="{1E07E8F7-EB14-47AD-A9E6-3CE33C89882A}"/>
    <cellStyle name="Decimal 2" xfId="5730" xr:uid="{493D06BA-293F-4737-991C-7DCDF41626AF}"/>
    <cellStyle name="Dobry 2" xfId="3268" xr:uid="{16F4CF35-9FCD-4351-8E1E-70902328951D}"/>
    <cellStyle name="dollar" xfId="1761" xr:uid="{6AADA27D-3238-44E7-9C19-86EAF21B92FD}"/>
    <cellStyle name="Dollar 2" xfId="5732" xr:uid="{80CFEFBA-DE38-437C-A425-0AADF1226924}"/>
    <cellStyle name="Dollar 3" xfId="5733" xr:uid="{B7004DD4-CA6B-41C6-BC70-BB87939EBDD9}"/>
    <cellStyle name="Dollar 4" xfId="5734" xr:uid="{E543730A-2360-4590-8947-5BC8049B339A}"/>
    <cellStyle name="Dollar 5" xfId="5735" xr:uid="{A76002A7-A423-40B5-820A-5654FCB4FB6B}"/>
    <cellStyle name="Dollar 6" xfId="5736" xr:uid="{4C43AE06-0594-4717-B59B-61AD74904B28}"/>
    <cellStyle name="Dollar 7" xfId="5731" xr:uid="{CD819493-0CE5-431F-8DC6-35DAF1322490}"/>
    <cellStyle name="dollar0" xfId="3322" xr:uid="{B5418260-CDD0-47C7-8E9B-9685A28BE456}"/>
    <cellStyle name="dollar1" xfId="3323" xr:uid="{03E035D8-00E3-494F-9884-6AACA68F00EF}"/>
    <cellStyle name="Dollars" xfId="5737" xr:uid="{A62125BA-067F-454E-A9C7-5740A3CAB1F9}"/>
    <cellStyle name="Dotted Line" xfId="1762" xr:uid="{51E8B900-6015-4A8D-A7DE-2FE6ECB45EFD}"/>
    <cellStyle name="Dotted Line 2" xfId="5738" xr:uid="{1CB7A6EA-C166-49FB-A271-DFF8BD881396}"/>
    <cellStyle name="E[S" xfId="3324" xr:uid="{221EA573-2431-4F7F-8BAA-7AD240A24958}"/>
    <cellStyle name="Enter Currency (0)" xfId="5739" xr:uid="{B9D56A49-443C-43D2-8D57-B2C0D1391BC3}"/>
    <cellStyle name="Enter Currency (0) 2" xfId="5740" xr:uid="{C2BDD2E2-86E2-41C5-8999-9BC59E627D86}"/>
    <cellStyle name="Enter Currency (0) 3" xfId="5741" xr:uid="{E5A595BA-7CA1-493C-8B7F-0078749930E0}"/>
    <cellStyle name="Enter Currency (0) 4" xfId="5742" xr:uid="{0E8B494B-0756-4508-A08D-B080648E127A}"/>
    <cellStyle name="Enter Currency (0) 5" xfId="5743" xr:uid="{80CA5A45-E690-4C89-BF7C-E27506B4574B}"/>
    <cellStyle name="Enter Currency (0) 6" xfId="5744" xr:uid="{63906158-AB2C-4645-8251-9CF2FAED4D50}"/>
    <cellStyle name="Enter Currency (0) 7" xfId="5745" xr:uid="{ABF744A3-7B49-4E7B-985D-7B3D59FBCB6C}"/>
    <cellStyle name="Enter Currency (0) 8" xfId="5746" xr:uid="{ABC2FD5F-B16E-4669-81D4-FAAE4D82F7A9}"/>
    <cellStyle name="Enter Currency (2)" xfId="5747" xr:uid="{868E5A18-7A65-4647-A02E-F557B526A5C7}"/>
    <cellStyle name="Enter Currency (2) 2" xfId="5748" xr:uid="{C5C3271E-776A-40E1-8DDF-5923E94A7A44}"/>
    <cellStyle name="Enter Currency (2) 3" xfId="5749" xr:uid="{9CAF5003-1526-47FC-A59C-39E9ED477692}"/>
    <cellStyle name="Enter Currency (2) 4" xfId="5750" xr:uid="{3D297310-FA12-47A0-A7A0-671AD51B8C9C}"/>
    <cellStyle name="Enter Currency (2) 5" xfId="5751" xr:uid="{E2429018-C26F-4A52-8448-FF3BFD58AF68}"/>
    <cellStyle name="Enter Currency (2) 6" xfId="5752" xr:uid="{90C9E456-1A82-4277-8A35-8BAC2A73646A}"/>
    <cellStyle name="Enter Currency (2) 7" xfId="5753" xr:uid="{E200C57E-1287-47CF-8687-378F9F93483F}"/>
    <cellStyle name="Enter Currency (2) 8" xfId="5754" xr:uid="{97CDF41F-9C81-489D-A73B-DFEA36CBCD20}"/>
    <cellStyle name="Enter Units (0)" xfId="5755" xr:uid="{ED29F262-7D8D-4141-8D63-D66B02E4A4A8}"/>
    <cellStyle name="Enter Units (0) 2" xfId="5756" xr:uid="{5BFCA3FD-3F8F-4B45-A1F5-A39EE99006D5}"/>
    <cellStyle name="Enter Units (0) 3" xfId="5757" xr:uid="{4D0DBE62-6942-490B-ADB2-D35933B99682}"/>
    <cellStyle name="Enter Units (0) 4" xfId="5758" xr:uid="{19B361AC-524A-4A81-A233-12E25DE1146C}"/>
    <cellStyle name="Enter Units (0) 5" xfId="5759" xr:uid="{9D43AAE8-7718-4127-B9AF-569031E22141}"/>
    <cellStyle name="Enter Units (0) 6" xfId="5760" xr:uid="{522F31DB-2FB6-4896-8B60-7F89A37E588E}"/>
    <cellStyle name="Enter Units (0) 7" xfId="5761" xr:uid="{5BDE154E-0A11-41EA-A60D-314F0E5890F1}"/>
    <cellStyle name="Enter Units (0) 8" xfId="5762" xr:uid="{362FAA4B-42BB-4CEC-9EB8-00D149949CC0}"/>
    <cellStyle name="Enter Units (1)" xfId="5763" xr:uid="{E1116CA1-26BA-45F0-89B9-E86A71068469}"/>
    <cellStyle name="Enter Units (1) 2" xfId="5764" xr:uid="{AA2D544F-13F5-48D1-8B24-76F1F09738E1}"/>
    <cellStyle name="Enter Units (1) 3" xfId="5765" xr:uid="{E967A596-A2A9-4CEA-8E50-87DC59F59167}"/>
    <cellStyle name="Enter Units (1) 4" xfId="5766" xr:uid="{FE1BD26E-1C08-4D6F-8114-0DD85344BAC9}"/>
    <cellStyle name="Enter Units (1) 5" xfId="5767" xr:uid="{926BB337-C463-43AC-830F-7053E9866474}"/>
    <cellStyle name="Enter Units (1) 6" xfId="5768" xr:uid="{96D15F1D-05A1-448C-BBB4-2EA0ABED492C}"/>
    <cellStyle name="Enter Units (1) 7" xfId="5769" xr:uid="{B59DF884-707F-4A9E-B03A-3972ABA91846}"/>
    <cellStyle name="Enter Units (1) 8" xfId="5770" xr:uid="{16CBD777-70E3-4A69-A70A-3BCB95C96C90}"/>
    <cellStyle name="Enter Units (2)" xfId="5771" xr:uid="{5F714794-749E-4F24-AC1A-F5594380566B}"/>
    <cellStyle name="Enter Units (2) 2" xfId="5772" xr:uid="{5CF93EB0-B039-4CE6-BC00-F4129CCF185C}"/>
    <cellStyle name="Enter Units (2) 3" xfId="5773" xr:uid="{FF46AF5F-1F99-4AA1-B81B-F5AA90BA847A}"/>
    <cellStyle name="Enter Units (2) 4" xfId="5774" xr:uid="{2F5E253F-E8CD-4F68-AA92-DBFDB706EA69}"/>
    <cellStyle name="Enter Units (2) 5" xfId="5775" xr:uid="{596F4ACB-F3FA-431B-84A6-41A80C943C22}"/>
    <cellStyle name="Enter Units (2) 6" xfId="5776" xr:uid="{68FBFEA0-69C2-489B-B471-9FD4873C471B}"/>
    <cellStyle name="Enter Units (2) 7" xfId="5777" xr:uid="{980E1A33-EF80-4AA4-98AD-9D2CF8C328C5}"/>
    <cellStyle name="Enter Units (2) 8" xfId="5778" xr:uid="{C8267E9D-1CC0-4721-8A8E-6438D07A67BD}"/>
    <cellStyle name="eps" xfId="3325" xr:uid="{259AA41E-6A62-47B7-83DD-CF5DB794E9B2}"/>
    <cellStyle name="epsNo$" xfId="3326" xr:uid="{D923C7B1-A0BC-467A-89E6-0C72C9AB5DF0}"/>
    <cellStyle name="Euro" xfId="1763" xr:uid="{DFC93E31-B707-4D57-A070-581348F8A082}"/>
    <cellStyle name="Euro 2" xfId="1764" xr:uid="{4BAF993E-9097-47F5-8D85-9643CAB4C5D0}"/>
    <cellStyle name="Euro 2 2" xfId="5780" xr:uid="{87077D12-A278-4BFF-A7AB-9FBA88EEC157}"/>
    <cellStyle name="Euro 3" xfId="1765" xr:uid="{D1747A78-EA2B-46E2-B1A4-7889B3DF9534}"/>
    <cellStyle name="Euro 3 2" xfId="5781" xr:uid="{A511953E-BEBC-42B0-B602-6384411E49C6}"/>
    <cellStyle name="Euro 4" xfId="1766" xr:uid="{CB8876C8-9A91-4564-8CF7-1D55341F90F5}"/>
    <cellStyle name="Euro 4 2" xfId="5782" xr:uid="{4A0236C5-5D70-40F8-8A63-A5BF1ADFBB18}"/>
    <cellStyle name="Euro 5" xfId="1767" xr:uid="{6641D18D-87D4-44F3-827E-C6DF64371819}"/>
    <cellStyle name="Euro 5 2" xfId="5783" xr:uid="{9A08C4FC-996D-4AE8-89E2-2477C8D43483}"/>
    <cellStyle name="Euro 6" xfId="1768" xr:uid="{E97E38AE-FE74-44A1-B83F-E570AEC30846}"/>
    <cellStyle name="Euro 6 2" xfId="5784" xr:uid="{28C3C831-3672-4FD6-A410-E59CCD271DAF}"/>
    <cellStyle name="Euro 7" xfId="5779" xr:uid="{F128331D-658D-4892-B6DF-55FB2DA25479}"/>
    <cellStyle name="EXHIBIT #" xfId="5785" xr:uid="{17F4B0AC-22E1-4E24-8BA6-2332A785522B}"/>
    <cellStyle name="EXHIBIT # 2" xfId="5786" xr:uid="{CC921A11-67F0-41C6-BE10-46A4F0E4A50B}"/>
    <cellStyle name="Explanatory Text 2" xfId="1769" xr:uid="{F86F2372-8C92-4237-B024-BE95F61DB213}"/>
    <cellStyle name="Explanatory Text 2 2" xfId="5787" xr:uid="{295DC96B-F90F-4707-AA8B-97C0900DB58B}"/>
    <cellStyle name="Explanatory Text 3" xfId="1770" xr:uid="{2C7D40E0-7996-4E86-AB62-A60FF20F008A}"/>
    <cellStyle name="Explanatory Text 3 2" xfId="5789" xr:uid="{82B7C16D-B216-44D9-86A0-4084B51688BD}"/>
    <cellStyle name="Explanatory Text 3 3" xfId="5788" xr:uid="{C4D02F7B-1F75-4954-83CF-C1C7BAE4083B}"/>
    <cellStyle name="Explanatory Text 4" xfId="5790" xr:uid="{9B572D37-57D3-4032-A465-58E52F81280B}"/>
    <cellStyle name="Explanatory Text 4 2" xfId="5791" xr:uid="{44E96294-2A08-471E-A26F-08F214852F91}"/>
    <cellStyle name="Explanatory Text 5" xfId="5792" xr:uid="{76FDB079-605D-45E9-81CA-6EC8EF310296}"/>
    <cellStyle name="Explanatory Text 5 2" xfId="5793" xr:uid="{4421E4CE-095E-49E2-9410-CAFCF4AFC81E}"/>
    <cellStyle name="External File Cells" xfId="1771" xr:uid="{A1CF1979-8814-4F4B-AC05-3E841FBDB905}"/>
    <cellStyle name="External File Cells 2" xfId="5794" xr:uid="{54AB0574-0836-42F6-A4E5-9E9929D08CC5}"/>
    <cellStyle name="External File Cells 3" xfId="5795" xr:uid="{0BE94A03-7CD8-49BC-A9D2-498DB1949CD7}"/>
    <cellStyle name="External File Cells 4" xfId="5796" xr:uid="{BF7B8648-99EF-44B4-8732-65C6BF9120B7}"/>
    <cellStyle name="External File Cells 5" xfId="5797" xr:uid="{38748E2C-6DE9-4E7D-A8C2-61B8C64958A5}"/>
    <cellStyle name="External File Cells 6" xfId="5798" xr:uid="{AF443DA2-A3A2-4D3E-945E-D8C6666AE8B4}"/>
    <cellStyle name="fa_column_header_bottom" xfId="3306" xr:uid="{31976FF1-4546-4A8B-9E34-2EDBD816A314}"/>
    <cellStyle name="FAS Number" xfId="1772" xr:uid="{48C4FF28-C673-4D89-A8F2-7A3E7BD7EC03}"/>
    <cellStyle name="fbnumber" xfId="5799" xr:uid="{E0D953D4-B395-4465-991B-5712154F104C}"/>
    <cellStyle name="fbnumber 2" xfId="5800" xr:uid="{8E3A8C37-7DC6-463A-A4FB-89016DB0856C}"/>
    <cellStyle name="fbnumber 3" xfId="5801" xr:uid="{0C9E6A28-70B0-41E2-A8D1-8507FBCF4D31}"/>
    <cellStyle name="fbnumber 4" xfId="5802" xr:uid="{C2385680-9C3E-42B9-85E8-0B0433970920}"/>
    <cellStyle name="fbnumber 5" xfId="5803" xr:uid="{692D1547-8789-4BDF-A05A-717B62093AF6}"/>
    <cellStyle name="fbnumber 6" xfId="5804" xr:uid="{8FB749ED-245E-4CEC-9EDA-88D9CE98CBCB}"/>
    <cellStyle name="FieldName" xfId="5805" xr:uid="{8FEE5608-A639-42B7-BB3E-C4F7692891EC}"/>
    <cellStyle name="FieldName 2" xfId="5806" xr:uid="{15770722-494A-4D3D-8F6C-EF5030104D1A}"/>
    <cellStyle name="finals" xfId="3327" xr:uid="{65814C28-A85B-43FD-BC94-2ECDE1A34A9E}"/>
    <cellStyle name="Fixed" xfId="5807" xr:uid="{F14F8162-5A40-4162-BCF8-37F85E9D2ADA}"/>
    <cellStyle name="Fixed 2" xfId="5808" xr:uid="{42016BD5-430F-4085-9AAC-237A29AB96EC}"/>
    <cellStyle name="Fixed 3" xfId="5809" xr:uid="{889B8AFE-705A-4837-8BEF-98CBFE8923B9}"/>
    <cellStyle name="Fixed 4" xfId="5810" xr:uid="{4AE3FB20-677B-4344-90E0-2A1EB70FA42B}"/>
    <cellStyle name="Fixed 5" xfId="5811" xr:uid="{8A37C283-1365-4037-8C76-B6265495FA71}"/>
    <cellStyle name="Fixed 6" xfId="5812" xr:uid="{7BB46F2E-0717-4028-B63A-46B5DEC85945}"/>
    <cellStyle name="Fixed 7" xfId="5813" xr:uid="{ECF72E27-CA5F-4871-85DB-148BB1469FDC}"/>
    <cellStyle name="Fixed 8" xfId="5814" xr:uid="{408AAEFA-0A1D-49CA-BD1D-05BFF5687511}"/>
    <cellStyle name="Footnote" xfId="1773" xr:uid="{CB60ECBD-54F8-4A9F-9108-272F0E13CF41}"/>
    <cellStyle name="FOOTNOTE 2" xfId="5816" xr:uid="{441A08B5-C900-438F-A6FB-02E1FE4B33C7}"/>
    <cellStyle name="FOOTNOTE 3" xfId="5815" xr:uid="{ECD70DA2-C420-4460-8734-9E70452F9D1B}"/>
    <cellStyle name="Footnotes" xfId="3328" xr:uid="{62BF2100-8BC9-4D2C-994A-F9B6202DCCE5}"/>
    <cellStyle name="Forecast Cells" xfId="1774" xr:uid="{94D24F7F-42C9-4E58-B647-8E580AFB22B5}"/>
    <cellStyle name="Forecast Cells 2" xfId="5817" xr:uid="{BE5D204F-7592-419B-8B4F-AC5B4D8DB2E7}"/>
    <cellStyle name="Forecast Cells 3" xfId="5818" xr:uid="{4E88A43D-D581-48F3-AE7E-B5E7B78B3F32}"/>
    <cellStyle name="Forecast Cells 4" xfId="5819" xr:uid="{B05BACA8-DFED-432D-9894-C15180A3E210}"/>
    <cellStyle name="Forecast Cells 5" xfId="5820" xr:uid="{94C378DB-913C-4076-A8E4-A2525307C6A3}"/>
    <cellStyle name="Forecast Cells 6" xfId="5821" xr:uid="{4F1F46FF-04D4-44EB-9B7A-BACEE580162C}"/>
    <cellStyle name="G02 Table Text" xfId="5822" xr:uid="{C16B97F8-882B-43C1-9116-C6E2A76360AB}"/>
    <cellStyle name="G02 Table Text 2" xfId="5823" xr:uid="{241303BF-4870-48CD-B0D8-B00BCA95BC57}"/>
    <cellStyle name="G02 Table Text 3" xfId="5824" xr:uid="{6370692C-EC1A-4D2E-B448-10D1982F5019}"/>
    <cellStyle name="G02 Table Text 4" xfId="5825" xr:uid="{BA23BAA9-772A-40D7-ADAE-8BF44262C9A6}"/>
    <cellStyle name="G02 Table Text 5" xfId="5826" xr:uid="{E65242E4-AE50-48BB-ACF3-8AAC5D3DB58F}"/>
    <cellStyle name="G02 Table Text 6" xfId="5827" xr:uid="{2E60D214-04BE-4D87-AF7E-E5221D498EE9}"/>
    <cellStyle name="G04_Main head" xfId="5828" xr:uid="{978466E5-237C-478B-9535-77D92EC8606A}"/>
    <cellStyle name="G05 Tab Head Bold" xfId="5829" xr:uid="{0C930057-AA93-4EBB-ABA4-1E4669235DB7}"/>
    <cellStyle name="G05 Tab Head Bold 2" xfId="5830" xr:uid="{F8654158-6E69-4F4D-A329-BCE82F8D0850}"/>
    <cellStyle name="G05 Tab Head Bold 3" xfId="5831" xr:uid="{A7B0D424-CB0F-4B1A-B4BA-0786383DE288}"/>
    <cellStyle name="G05 Tab Head Bold 4" xfId="5832" xr:uid="{A36CDE99-C59D-45B9-A787-6632A5540C53}"/>
    <cellStyle name="G05 Tab Head Bold 5" xfId="5833" xr:uid="{543C8E82-4DCE-4623-899A-59D4816A2715}"/>
    <cellStyle name="G05 Tab Head Bold 6" xfId="5834" xr:uid="{25B1BC3D-F70A-414D-A2B4-E9E4E44520A9}"/>
    <cellStyle name="G05 Tab Head Bold 7" xfId="5835" xr:uid="{1A52F12B-7B6D-4072-9D55-6C931E18294C}"/>
    <cellStyle name="G05 Tab Head Bold 8" xfId="5836" xr:uid="{F0129298-29E0-4706-A86C-E6C4AE1455F9}"/>
    <cellStyle name="G05 Tab Head Light" xfId="5837" xr:uid="{B00E53CA-A6F2-4737-A953-6AD2F7B56739}"/>
    <cellStyle name="G05 Tab Head Light 2" xfId="5838" xr:uid="{5711926D-F4C8-46C5-BA6D-05F9DD4B78FA}"/>
    <cellStyle name="G05 Tab Head Light 3" xfId="5839" xr:uid="{5EFF56CE-37F5-4568-8EC1-D4E3A5E4E0D4}"/>
    <cellStyle name="G05 Tab Head Light 4" xfId="5840" xr:uid="{D7272469-3198-4B11-AFBE-C4315F3F112B}"/>
    <cellStyle name="G05 Tab Head Light 5" xfId="5841" xr:uid="{F817AAEF-4295-4D57-A772-83EF436F1835}"/>
    <cellStyle name="G05 Tab Head Light 6" xfId="5842" xr:uid="{392D32DD-137A-40F0-8200-BA6475F169E5}"/>
    <cellStyle name="G05 Tab Head Light 7" xfId="5843" xr:uid="{EF34A040-9169-4EA0-9415-D40A1BDA45A8}"/>
    <cellStyle name="G05 Tab Head Light 8" xfId="5844" xr:uid="{24E6FD8F-042B-44AE-91E3-CE7A56AA0871}"/>
    <cellStyle name="G1_1999 figures" xfId="1775" xr:uid="{A45C833A-0E64-4187-886F-D0B700BAFD27}"/>
    <cellStyle name="Good 10" xfId="1776" xr:uid="{110D0BA5-1899-4AB2-8856-78CD8E278418}"/>
    <cellStyle name="Good 10 2" xfId="1777" xr:uid="{5D56AEB2-7D83-4334-AE42-5DACD78794A8}"/>
    <cellStyle name="Good 10 2 2" xfId="5845" xr:uid="{49DAD4BC-7A7F-49AE-9950-DE59DA36EFD1}"/>
    <cellStyle name="Good 10 3" xfId="5846" xr:uid="{6D14654D-1A5B-4A3F-9D61-531F941FF0CB}"/>
    <cellStyle name="Good 10 4" xfId="5847" xr:uid="{8462DFBF-A31B-4B2D-993A-A345C950452A}"/>
    <cellStyle name="Good 10 5" xfId="5848" xr:uid="{302AADF1-7D33-4D49-B51B-CE65740DDB32}"/>
    <cellStyle name="Good 10 6" xfId="5849" xr:uid="{415CCDCF-BD2A-41A2-B7FB-9B5EC612104A}"/>
    <cellStyle name="Good 10 7" xfId="5850" xr:uid="{28C02E18-89A0-4EAD-8057-DCB191EAAED7}"/>
    <cellStyle name="Good 11" xfId="1778" xr:uid="{2FCA7D80-C2BA-448D-9243-1ACC71B815B8}"/>
    <cellStyle name="Good 11 2" xfId="1779" xr:uid="{22BD7AC6-5B1B-4C4A-9A81-CCE3F6AA407C}"/>
    <cellStyle name="Good 11 2 2" xfId="5851" xr:uid="{2398D3E5-800A-4425-8314-D209DC0934CA}"/>
    <cellStyle name="Good 11 3" xfId="5852" xr:uid="{FB2ED1F8-5D37-4EA1-873C-F1A9E41A11CE}"/>
    <cellStyle name="Good 11 4" xfId="5853" xr:uid="{19AC1395-923C-4F4C-9A1C-26B1EE6E921B}"/>
    <cellStyle name="Good 11 5" xfId="5854" xr:uid="{2F04A3F5-AFB4-4DEC-9DB4-1DEA2C9154D8}"/>
    <cellStyle name="Good 11 6" xfId="5855" xr:uid="{B5948310-72DF-4704-85A3-0B3B44907421}"/>
    <cellStyle name="Good 11 7" xfId="5856" xr:uid="{496151DE-6B90-422F-8BAF-929D6A8FC2D3}"/>
    <cellStyle name="Good 12" xfId="1780" xr:uid="{E3501DC6-83C9-40CA-A0C5-B97AA01B79DA}"/>
    <cellStyle name="Good 12 2" xfId="1781" xr:uid="{03B138B1-1C28-4B04-BF81-93C21304C12F}"/>
    <cellStyle name="Good 12 2 2" xfId="5857" xr:uid="{66033541-BE33-474B-98A1-25B03FA4D631}"/>
    <cellStyle name="Good 12 3" xfId="5858" xr:uid="{6201638D-A0EB-432F-99CB-25A32BF72BE9}"/>
    <cellStyle name="Good 12 4" xfId="5859" xr:uid="{BF576BAC-2E90-426A-84CC-70889B5C5C73}"/>
    <cellStyle name="Good 12 5" xfId="5860" xr:uid="{A90C086B-0317-47FF-ACD6-11AAA28D8814}"/>
    <cellStyle name="Good 12 6" xfId="5861" xr:uid="{210FC4E0-14CB-4C9F-8A4C-DD47EA24924B}"/>
    <cellStyle name="Good 12 7" xfId="5862" xr:uid="{97430196-34D7-442C-AAF7-C84DE57BD9E9}"/>
    <cellStyle name="Good 13" xfId="1782" xr:uid="{53913B2C-17C1-4426-A13B-4DE3D7F4863F}"/>
    <cellStyle name="Good 13 2" xfId="5863" xr:uid="{294AE7C1-37C7-4C7F-93A4-1C6CEB75A97E}"/>
    <cellStyle name="Good 14 2" xfId="5864" xr:uid="{39A4F4C7-767B-478C-9F73-AB285F1B4183}"/>
    <cellStyle name="Good 15 2" xfId="5865" xr:uid="{626F882A-82A9-4E09-A038-F6227C8F5B64}"/>
    <cellStyle name="Good 16 2" xfId="5866" xr:uid="{BD6764D5-2AC1-4528-84BB-D00042A6C64C}"/>
    <cellStyle name="Good 17 2" xfId="5867" xr:uid="{4509B9DA-21B1-4C05-9903-BA3734710F8F}"/>
    <cellStyle name="Good 18 2" xfId="5868" xr:uid="{4B5D6613-FDE3-4A64-9D7F-02942B5D8E73}"/>
    <cellStyle name="Good 19 2" xfId="5869" xr:uid="{2FB94BA4-F7E1-49C7-8341-87B3DE2C1270}"/>
    <cellStyle name="Good 2" xfId="1783" xr:uid="{10F28BA8-32A6-4328-89DE-F680290BB13B}"/>
    <cellStyle name="Good 2 2" xfId="1784" xr:uid="{454A6C89-250B-41E9-B974-CEC983DA029B}"/>
    <cellStyle name="Good 2 2 2" xfId="1785" xr:uid="{8A74AB77-A3BB-4F25-BABF-05A94771CA5C}"/>
    <cellStyle name="Good 2 2 3" xfId="5870" xr:uid="{822AA000-8B5D-4099-BA29-238C6A08EFE7}"/>
    <cellStyle name="Good 2 3" xfId="1786" xr:uid="{085D74FF-0D29-4CC4-AE15-368877429469}"/>
    <cellStyle name="Good 2 3 2" xfId="5871" xr:uid="{2FF8F9C6-028A-4AF5-B105-9B19A79F1433}"/>
    <cellStyle name="Good 2 4" xfId="5872" xr:uid="{B70F8794-4952-4CDB-9E16-BA6867A7BA8A}"/>
    <cellStyle name="Good 2 5" xfId="5873" xr:uid="{8F519AB9-1D58-40D1-9F2E-E7DFD4F9F10E}"/>
    <cellStyle name="Good 2 6" xfId="5874" xr:uid="{5BCF4D8C-40F1-484E-B8E8-4CD0C0AC93E8}"/>
    <cellStyle name="Good 2 7" xfId="5875" xr:uid="{6D2AC3AF-417D-4336-9E71-7FD6E8ADC73F}"/>
    <cellStyle name="Good 2 8" xfId="3428" xr:uid="{AA7A232B-720C-4E5E-9D8D-2F9C1751C786}"/>
    <cellStyle name="Good 20 2" xfId="5876" xr:uid="{6C3F00D6-2BE5-4DCF-B27F-47D997818EFB}"/>
    <cellStyle name="Good 21 2" xfId="5877" xr:uid="{45F3A254-ED17-4866-A906-3CF752C40850}"/>
    <cellStyle name="Good 3" xfId="1787" xr:uid="{2138E771-694B-41E3-B337-480B57AF8DCF}"/>
    <cellStyle name="Good 3 2" xfId="1788" xr:uid="{89F5BBF9-3035-4146-A82A-95639FB28CA7}"/>
    <cellStyle name="Good 3 2 2" xfId="5878" xr:uid="{E0EA2A59-3F3C-45A0-93B2-DC847400B30E}"/>
    <cellStyle name="Good 3 3" xfId="5879" xr:uid="{9DFA879F-A340-4492-B536-DA3C5AA28FB2}"/>
    <cellStyle name="Good 3 4" xfId="5880" xr:uid="{22F73C5D-BDAB-4F13-92BC-44140BCED0DC}"/>
    <cellStyle name="Good 3 5" xfId="5881" xr:uid="{EFF67E65-9768-4A00-AF2D-922E44749727}"/>
    <cellStyle name="Good 3 6" xfId="5882" xr:uid="{A7E4B5D3-3403-4925-8F50-9161880DBECB}"/>
    <cellStyle name="Good 3 7" xfId="5883" xr:uid="{3EE3F511-6265-471D-834C-A9477EB4D87D}"/>
    <cellStyle name="Good 4" xfId="1789" xr:uid="{63F22E61-37CF-404B-AA88-933B33962FED}"/>
    <cellStyle name="Good 4 2" xfId="1790" xr:uid="{D234374F-C6BE-44EA-91AB-AF51C5E8307F}"/>
    <cellStyle name="Good 4 2 2" xfId="5885" xr:uid="{7D311953-61D7-436D-9B43-0024553C9001}"/>
    <cellStyle name="Good 4 3" xfId="5886" xr:uid="{97A700FB-4760-4344-A22D-2BE9F67D9FF1}"/>
    <cellStyle name="Good 4 4" xfId="5887" xr:uid="{6FF06547-3A95-4480-9458-E82B5A7B0223}"/>
    <cellStyle name="Good 4 5" xfId="5888" xr:uid="{2AE7F3F1-4519-4146-96A9-B11980259D82}"/>
    <cellStyle name="Good 4 6" xfId="5889" xr:uid="{6754B70A-4D9A-40B7-9DC1-4E704594CD8D}"/>
    <cellStyle name="Good 4 7" xfId="5890" xr:uid="{F5DDCA38-C57F-445B-A668-5514B4AD7293}"/>
    <cellStyle name="Good 4 8" xfId="5884" xr:uid="{A412EC60-B5F4-4E17-8D65-4B63F097399D}"/>
    <cellStyle name="Good 5" xfId="1791" xr:uid="{799CAC9E-B0D6-4A17-B82F-04E93A4FDB0A}"/>
    <cellStyle name="Good 5 2" xfId="1792" xr:uid="{150991CA-2530-4551-9666-29D0B6626FEC}"/>
    <cellStyle name="Good 5 2 2" xfId="5892" xr:uid="{96BD5534-4567-4057-9412-F1AABEB33C73}"/>
    <cellStyle name="Good 5 3" xfId="5893" xr:uid="{0D653665-DAF3-4FB0-A319-AA2964611943}"/>
    <cellStyle name="Good 5 4" xfId="5894" xr:uid="{7BF1E0D6-DB3A-4C91-9E95-6951A941A374}"/>
    <cellStyle name="Good 5 5" xfId="5895" xr:uid="{42D88539-0111-4351-958F-7DB96E9326CF}"/>
    <cellStyle name="Good 5 6" xfId="5896" xr:uid="{36D2A6CD-E8DE-49E9-B7C3-7EA65C07AE9F}"/>
    <cellStyle name="Good 5 7" xfId="5897" xr:uid="{CFF39E53-8590-4D84-8B37-7CC1267180A0}"/>
    <cellStyle name="Good 5 8" xfId="5891" xr:uid="{4C8316BC-6C58-4D79-AE8F-CEE2C4CCB63E}"/>
    <cellStyle name="Good 6" xfId="1793" xr:uid="{9904EE67-1EA3-4936-963C-2C4175CC6511}"/>
    <cellStyle name="Good 6 2" xfId="1794" xr:uid="{DE9598E1-A804-45D9-BA2F-CD4FD2C9147F}"/>
    <cellStyle name="Good 6 2 2" xfId="5898" xr:uid="{C4BDE966-7D2E-4F2A-B651-A37C6F3D6D76}"/>
    <cellStyle name="Good 6 3" xfId="5899" xr:uid="{327FE4BC-2E61-4E7D-A58F-4A9D9D81B52F}"/>
    <cellStyle name="Good 6 4" xfId="5900" xr:uid="{8DB741F7-CDE8-41EA-840B-2390F011AAD3}"/>
    <cellStyle name="Good 6 5" xfId="5901" xr:uid="{45A4B339-C894-433B-BDD7-CE1EA6A01045}"/>
    <cellStyle name="Good 6 6" xfId="5902" xr:uid="{3A07CA4B-F15C-436B-B5A3-80E8A0335B6B}"/>
    <cellStyle name="Good 6 7" xfId="5903" xr:uid="{2E70D912-5463-4B19-866C-2D8642390E6A}"/>
    <cellStyle name="Good 7" xfId="1795" xr:uid="{0F7E14DC-BF0C-4B1B-96CA-C37F48FF2C81}"/>
    <cellStyle name="Good 7 2" xfId="1796" xr:uid="{6B069C26-1D52-4E51-A166-B71B13A67F2D}"/>
    <cellStyle name="Good 7 2 2" xfId="5904" xr:uid="{0C310B82-47C6-4D65-86E7-81C1A82F6FD0}"/>
    <cellStyle name="Good 7 3" xfId="5905" xr:uid="{1560C85B-0EB0-4279-9E36-AE43937741B7}"/>
    <cellStyle name="Good 7 4" xfId="5906" xr:uid="{3A4BEADF-E9C4-4B50-B6DC-DD11557026D8}"/>
    <cellStyle name="Good 7 5" xfId="5907" xr:uid="{903FD51F-2E50-40ED-924E-B18BBC816CD9}"/>
    <cellStyle name="Good 7 6" xfId="5908" xr:uid="{CC5ADE65-95E3-41CF-8A93-D3A11BC022E4}"/>
    <cellStyle name="Good 7 7" xfId="5909" xr:uid="{A3DA282D-553E-44EE-9BCA-46FA14D3A057}"/>
    <cellStyle name="Good 8" xfId="1797" xr:uid="{7DFFF76B-2B39-4455-BF5D-05629F001656}"/>
    <cellStyle name="Good 8 2" xfId="1798" xr:uid="{982FBF09-5FD3-46C8-911E-E910B9552C6A}"/>
    <cellStyle name="Good 8 2 2" xfId="5910" xr:uid="{3F06D01F-8477-4F45-A7AA-7B5D5700FAA8}"/>
    <cellStyle name="Good 8 3" xfId="5911" xr:uid="{4A24AA65-8E90-4527-9C4F-C73CE692E437}"/>
    <cellStyle name="Good 8 4" xfId="5912" xr:uid="{8A4AF982-FBD0-4BE2-9D4B-4601D305CA20}"/>
    <cellStyle name="Good 8 5" xfId="5913" xr:uid="{1E09766C-5C36-4ADD-9B8B-EA7200E5B34F}"/>
    <cellStyle name="Good 8 6" xfId="5914" xr:uid="{E4B833AB-DBF2-4A29-952D-163D788AE7F2}"/>
    <cellStyle name="Good 8 7" xfId="5915" xr:uid="{5AA195E5-F857-4572-B4E1-D4AA8FE030E5}"/>
    <cellStyle name="Good 9" xfId="1799" xr:uid="{4850EE92-6B9E-4B99-9B58-46033B48D629}"/>
    <cellStyle name="Good 9 2" xfId="1800" xr:uid="{6D89A705-16DC-4A39-B889-EDC6E6E1CECE}"/>
    <cellStyle name="Good 9 2 2" xfId="5916" xr:uid="{1D0770F5-5E68-4675-8A24-F07C6F9A4E76}"/>
    <cellStyle name="Good 9 3" xfId="5917" xr:uid="{B9E963A1-5946-436E-B66B-B19D40DB6DA5}"/>
    <cellStyle name="Good 9 4" xfId="5918" xr:uid="{E0941BC3-BC21-4227-A456-BCA9BF50030A}"/>
    <cellStyle name="Good 9 5" xfId="5919" xr:uid="{51166D93-8C71-4BC4-93D8-0B78648F0A1A}"/>
    <cellStyle name="Good 9 6" xfId="5920" xr:uid="{1641691E-9EA5-4088-B328-5DC9CB8ED428}"/>
    <cellStyle name="Good 9 7" xfId="5921" xr:uid="{83114C23-93D0-47BC-B337-85517D73129F}"/>
    <cellStyle name="grayText2" xfId="5922" xr:uid="{EC3D8087-2AF0-4619-B216-7620661B999B}"/>
    <cellStyle name="grayText2 2" xfId="5923" xr:uid="{B8E751C8-CDF3-479B-968F-29AD379E1775}"/>
    <cellStyle name="grayText2 3" xfId="5924" xr:uid="{74474012-66CD-4221-A762-39B4E330D81A}"/>
    <cellStyle name="grayText2 4" xfId="5925" xr:uid="{88D82703-1CB3-4A6C-9C10-1C550CC8C9E4}"/>
    <cellStyle name="grayText2 5" xfId="5926" xr:uid="{F1AE65C9-0BB0-4220-882A-0DE434A0D2DF}"/>
    <cellStyle name="grayText2 6" xfId="5927" xr:uid="{5F7E9462-A5D6-4434-969B-2F164B0897FE}"/>
    <cellStyle name="grayText2Big" xfId="5928" xr:uid="{FCA374F5-C542-4908-A7FC-57335D37E0B0}"/>
    <cellStyle name="grayText2Big 2" xfId="5929" xr:uid="{55EF8DB8-30DE-4678-88BC-CC63B64D82D8}"/>
    <cellStyle name="Green" xfId="5930" xr:uid="{65B881A7-0AE7-49A0-9FDB-1236AAC87A8F}"/>
    <cellStyle name="Grey" xfId="1801" xr:uid="{94E9271C-2B9C-49E7-99DE-DD2891D2530B}"/>
    <cellStyle name="H_1998_col_head" xfId="1802" xr:uid="{2E0A75D5-9189-4F02-9E4F-F2F642C3CEC6}"/>
    <cellStyle name="H_1998_col_head 2" xfId="5931" xr:uid="{4B593C0E-FF30-4086-A9A2-257283479765}"/>
    <cellStyle name="H_1998_col_head_PharMerica" xfId="1803" xr:uid="{0C63D923-77B1-4FE9-8945-6297A3342E94}"/>
    <cellStyle name="H_1998_col_head_Quest Diagnostics" xfId="1804" xr:uid="{E8B8ABA8-AB84-4932-B799-20BF1A0B9BF4}"/>
    <cellStyle name="H_1998_col_head_TGT_-_analysis_08.22.07_v11" xfId="1805" xr:uid="{6A19F843-B694-4999-97F1-95005955A14D}"/>
    <cellStyle name="H_1999_col_head" xfId="1806" xr:uid="{59BCD7B2-4324-4463-9054-C70974E0F00C}"/>
    <cellStyle name="H1_1998 figures" xfId="1807" xr:uid="{B26E4A82-4241-4BF7-BF3E-7D5465456A57}"/>
    <cellStyle name="hard no" xfId="5932" xr:uid="{CFD768AF-8132-4608-A5C6-D20F54427B82}"/>
    <cellStyle name="hard no 2" xfId="5933" xr:uid="{2B167D3F-D6AE-4124-9267-FF28AFBCF74C}"/>
    <cellStyle name="hard no 3" xfId="5934" xr:uid="{BB674503-B0E9-41D1-A363-B24FAC2642EB}"/>
    <cellStyle name="hard no 4" xfId="5935" xr:uid="{401AD531-9F46-43A7-A381-944928237EBA}"/>
    <cellStyle name="hard no 5" xfId="5936" xr:uid="{847B79BC-9B1B-4751-A77A-3C3F8CC4F7E4}"/>
    <cellStyle name="hard no 6" xfId="5937" xr:uid="{CD9B1112-8E7A-4866-BDC4-6EAA5D60FBCD}"/>
    <cellStyle name="hard no." xfId="1808" xr:uid="{52E4FC2B-4EC3-43D4-872A-26E824944418}"/>
    <cellStyle name="Hard Percent" xfId="1809" xr:uid="{95286430-C389-44B9-9831-9BC09A821B0D}"/>
    <cellStyle name="Hard Percent 2" xfId="5938" xr:uid="{4E3D7368-3AC9-46FD-A17A-2E8930E80F65}"/>
    <cellStyle name="hardno" xfId="5939" xr:uid="{154CF12F-2598-4828-A92F-F04BB19E7341}"/>
    <cellStyle name="Header" xfId="1810" xr:uid="{2E73C474-F7B2-4580-9E1A-7E70C378F1CE}"/>
    <cellStyle name="HEADER 2" xfId="5940" xr:uid="{F6844010-7F10-4487-A2B8-A9D9EE245BE4}"/>
    <cellStyle name="Header1" xfId="5941" xr:uid="{9346EE2B-E435-44C2-AB98-9284C2E7082B}"/>
    <cellStyle name="Header1 2" xfId="5942" xr:uid="{9E846016-D9AF-4ECB-B248-CD13139318D7}"/>
    <cellStyle name="Header1 3" xfId="5943" xr:uid="{C3C8DAF7-C0B1-4376-BFF3-5AB7B01FE54F}"/>
    <cellStyle name="Header1 4" xfId="5944" xr:uid="{A5EDC085-BBB0-4378-8D63-E5EBA03F049D}"/>
    <cellStyle name="Header1 5" xfId="5945" xr:uid="{8222F510-6DF5-4C5A-A182-6D2C4B4B8BCB}"/>
    <cellStyle name="Header1 6" xfId="5946" xr:uid="{52207835-60DC-45FC-B154-39882CD902F6}"/>
    <cellStyle name="Header2" xfId="5947" xr:uid="{A61C9269-82B9-49AE-9D78-E34340CAE786}"/>
    <cellStyle name="Header2 2" xfId="5948" xr:uid="{B38F2D6A-730E-4C23-B8A2-60DB0707EF83}"/>
    <cellStyle name="Header2 2 2" xfId="7808" xr:uid="{98085898-A73A-4132-B287-80529AF49135}"/>
    <cellStyle name="Header2 3" xfId="5949" xr:uid="{D0E1E4B6-C3DC-4930-B2A4-7F7B323BB9EA}"/>
    <cellStyle name="Header2 3 2" xfId="7809" xr:uid="{387277D6-8FD5-43D7-B898-3D24DFF3915B}"/>
    <cellStyle name="Header2 4" xfId="5950" xr:uid="{6B92F0B1-1630-44DB-B367-BDC37415335B}"/>
    <cellStyle name="Header2 4 2" xfId="7810" xr:uid="{C00E53F1-7750-4C07-8C64-5E6ECBACD100}"/>
    <cellStyle name="Header2 5" xfId="5951" xr:uid="{367193A8-829C-4FAF-B1D0-331C980818B5}"/>
    <cellStyle name="Header2 5 2" xfId="7811" xr:uid="{479C6DFD-4C03-40B8-8B97-4494E9C02E84}"/>
    <cellStyle name="Header2 6" xfId="5952" xr:uid="{66EE6318-2714-4DA7-B74B-9AB393114B73}"/>
    <cellStyle name="Header2 6 2" xfId="7812" xr:uid="{A658AAC8-5531-4D0C-93A4-B362A33D4E03}"/>
    <cellStyle name="Header2 7" xfId="7807" xr:uid="{4602A483-7CF6-4C63-83BE-0918F4EBD25B}"/>
    <cellStyle name="headers" xfId="3329" xr:uid="{747F909F-3E92-4BCF-9D95-70AC12E1ADC2}"/>
    <cellStyle name="heading" xfId="3330" xr:uid="{EB81AC04-9403-4E74-B2B9-69BD0BFD834C}"/>
    <cellStyle name="Heading 1 10" xfId="1811" xr:uid="{A1CD5710-3DC7-4F47-B1BD-2ED69B6C04FD}"/>
    <cellStyle name="Heading 1 10 2" xfId="1812" xr:uid="{3FE5E9B5-2A9A-41B4-ACA6-BA03E3CB7AC4}"/>
    <cellStyle name="Heading 1 10 2 2" xfId="1813" xr:uid="{B62238AC-3A69-45A6-B5B4-8510F034798B}"/>
    <cellStyle name="Heading 1 10 2 2 2" xfId="7564" xr:uid="{1C29770C-E0C5-47BF-9233-861D756EA4FE}"/>
    <cellStyle name="Heading 1 10 2 3" xfId="1814" xr:uid="{EB0B7293-7712-4CD9-AB65-8F855DDE36FD}"/>
    <cellStyle name="Heading 1 10 2 3 2" xfId="7565" xr:uid="{F90DBB39-2220-48E3-9ADA-CB5194E9AFAE}"/>
    <cellStyle name="Heading 1 10 2 4" xfId="1815" xr:uid="{BE3754B5-4693-422A-BEE9-A1946FAA9F31}"/>
    <cellStyle name="Heading 1 10 2 4 2" xfId="7566" xr:uid="{886DB4BE-564C-4368-BBAC-874ED21C89A9}"/>
    <cellStyle name="Heading 1 10 2 5" xfId="5953" xr:uid="{D90E4B00-7947-4F5D-A448-E1CFB1F2D1CA}"/>
    <cellStyle name="Heading 1 10 3" xfId="5954" xr:uid="{6EAA0398-E781-4CA0-8B63-B5DB0032C1F0}"/>
    <cellStyle name="Heading 1 10 4" xfId="5955" xr:uid="{23FF1090-0A15-40F9-984E-50EC57D84443}"/>
    <cellStyle name="Heading 1 10 5" xfId="5956" xr:uid="{845A6FDE-2EDA-46B3-8AC3-6E43E888A0CE}"/>
    <cellStyle name="Heading 1 10 6" xfId="5957" xr:uid="{753E160E-4202-4A49-AF6F-E55947A3B27E}"/>
    <cellStyle name="Heading 1 10 7" xfId="5958" xr:uid="{DF69D746-C6EB-460A-A0AE-5CBE500AC834}"/>
    <cellStyle name="Heading 1 11" xfId="1816" xr:uid="{F1A8FB46-6E38-412F-9D7D-2CF1AEFF0CC1}"/>
    <cellStyle name="Heading 1 11 2" xfId="1817" xr:uid="{709299D7-AE4A-41D0-87DD-5C9275A49B29}"/>
    <cellStyle name="Heading 1 11 2 2" xfId="1818" xr:uid="{0E070494-4272-4513-A265-EF198526D080}"/>
    <cellStyle name="Heading 1 11 2 2 2" xfId="7567" xr:uid="{F8B7BB5E-8AD8-4C5C-A2CB-9B5A736D5AE0}"/>
    <cellStyle name="Heading 1 11 2 3" xfId="1819" xr:uid="{284B7FF2-6F37-4133-A4AD-52C5486AC526}"/>
    <cellStyle name="Heading 1 11 2 3 2" xfId="7568" xr:uid="{D07BD5F5-8027-4D84-ACD8-A89599368534}"/>
    <cellStyle name="Heading 1 11 2 4" xfId="1820" xr:uid="{EC423DA8-456A-4982-A350-09F9215908C0}"/>
    <cellStyle name="Heading 1 11 2 4 2" xfId="7569" xr:uid="{60FC7573-D44A-40D4-ADF1-BB7EB95A71E1}"/>
    <cellStyle name="Heading 1 11 2 5" xfId="5959" xr:uid="{DFDE2949-82A5-40F7-8373-D03C8D06B4E6}"/>
    <cellStyle name="Heading 1 11 3" xfId="5960" xr:uid="{9C7D0F93-05E0-40A3-A3F9-2F0A49C516B7}"/>
    <cellStyle name="Heading 1 11 4" xfId="5961" xr:uid="{A6D2B68B-6789-4CE1-BFD4-F3149F53B12F}"/>
    <cellStyle name="Heading 1 11 5" xfId="5962" xr:uid="{A19576AA-B2D9-4923-A92A-645E79D640FD}"/>
    <cellStyle name="Heading 1 11 6" xfId="5963" xr:uid="{92894861-7C72-4CD3-A22A-91469534D090}"/>
    <cellStyle name="Heading 1 11 7" xfId="5964" xr:uid="{902C0C9E-D761-4932-9FDD-3AB8AA3ACA94}"/>
    <cellStyle name="Heading 1 12" xfId="1821" xr:uid="{82C7D896-5D58-4E5A-A027-73DEE95E53FA}"/>
    <cellStyle name="Heading 1 12 2" xfId="1822" xr:uid="{9D3EEBDE-DD6B-48A1-961C-3881482B6B85}"/>
    <cellStyle name="Heading 1 12 2 2" xfId="1823" xr:uid="{ABB5ED20-C04A-4500-AFBB-3DA6E82BD433}"/>
    <cellStyle name="Heading 1 12 2 2 2" xfId="7570" xr:uid="{BABB51E4-D4C9-4463-9B89-3492DBB2FF4E}"/>
    <cellStyle name="Heading 1 12 2 3" xfId="1824" xr:uid="{5334B089-360E-4F11-B607-A7A89184BA39}"/>
    <cellStyle name="Heading 1 12 2 3 2" xfId="7571" xr:uid="{E99846F0-1BFA-47FE-9B03-8E1D1BA68E6C}"/>
    <cellStyle name="Heading 1 12 2 4" xfId="1825" xr:uid="{F948FB75-4015-41AF-96FF-32EBEA962FD7}"/>
    <cellStyle name="Heading 1 12 2 4 2" xfId="7572" xr:uid="{E05526C6-F25A-47A7-94FD-7E6C230161B0}"/>
    <cellStyle name="Heading 1 12 2 5" xfId="5965" xr:uid="{666B45C5-9B5D-44C4-8246-4BBCB903E4CD}"/>
    <cellStyle name="Heading 1 12 3" xfId="5966" xr:uid="{15448DA6-7352-4CF8-B8E1-19796C71B857}"/>
    <cellStyle name="Heading 1 12 4" xfId="5967" xr:uid="{9509BD9D-E0B2-442F-B237-ACD0DE10FD54}"/>
    <cellStyle name="Heading 1 12 5" xfId="5968" xr:uid="{559F92F1-C263-4C24-A0F2-385DB45F3D5D}"/>
    <cellStyle name="Heading 1 12 6" xfId="5969" xr:uid="{F6CCFA71-4268-4E28-B5CF-7AD9B489C71E}"/>
    <cellStyle name="Heading 1 12 7" xfId="5970" xr:uid="{145F72CB-DA2B-47DB-957C-E43BFD7C0620}"/>
    <cellStyle name="Heading 1 13" xfId="1826" xr:uid="{0FD2D075-F527-4ACA-B3FB-841745ADEED0}"/>
    <cellStyle name="Heading 1 13 2" xfId="5971" xr:uid="{B639C0D1-E8CD-4A2D-88C6-B2ECCEC1FF58}"/>
    <cellStyle name="Heading 1 14" xfId="1827" xr:uid="{DCC685BE-313A-4D58-9756-B9507BDEED73}"/>
    <cellStyle name="Heading 1 14 2" xfId="5972" xr:uid="{0897B055-2C88-4108-B7CD-31E12E47D58B}"/>
    <cellStyle name="Heading 1 15" xfId="1828" xr:uid="{00275E01-6B0D-4461-BF2A-D1D00A10DD58}"/>
    <cellStyle name="Heading 1 15 2" xfId="5973" xr:uid="{1650D252-433F-4A85-A486-1B64F12F5BA3}"/>
    <cellStyle name="Heading 1 16" xfId="1829" xr:uid="{DE7783AB-E2D4-4857-AAEE-09EAD2435233}"/>
    <cellStyle name="Heading 1 16 2" xfId="5974" xr:uid="{5710463A-9C56-48E8-B5C2-2F57A2F285BA}"/>
    <cellStyle name="Heading 1 17" xfId="1830" xr:uid="{21799FA0-CEB7-4201-A4B2-E7F30F7010C6}"/>
    <cellStyle name="Heading 1 17 2" xfId="5975" xr:uid="{13280DB2-14D2-4E51-AB3A-12CBD596DF80}"/>
    <cellStyle name="Heading 1 18" xfId="1831" xr:uid="{49291163-1234-4914-976A-2D176316B601}"/>
    <cellStyle name="Heading 1 18 2" xfId="5976" xr:uid="{0857C8EB-2AAC-408B-BC38-641B179030D5}"/>
    <cellStyle name="Heading 1 19" xfId="1832" xr:uid="{92813DDC-864D-40BF-AEDC-6ABDED688304}"/>
    <cellStyle name="Heading 1 19 2" xfId="5977" xr:uid="{C36708EB-45B6-4A32-96DE-55205F9B0470}"/>
    <cellStyle name="Heading 1 2" xfId="1833" xr:uid="{A128FB21-3C4C-4260-808F-8C86E7C9EFD8}"/>
    <cellStyle name="Heading 1 2 2" xfId="1834" xr:uid="{B333D26F-1224-4D6A-A366-FA2E14C20BD5}"/>
    <cellStyle name="Heading 1 2 2 2" xfId="1835" xr:uid="{ADB657E0-CDE8-44C1-BF30-259449172F49}"/>
    <cellStyle name="Heading 1 2 2 2 2" xfId="1836" xr:uid="{391FB1BB-9B9D-4A5A-8C40-229A24325670}"/>
    <cellStyle name="Heading 1 2 2 2 2 2" xfId="7573" xr:uid="{CF8B84E9-BD00-4AC3-8523-DA5EF470056D}"/>
    <cellStyle name="Heading 1 2 2 2 3" xfId="1837" xr:uid="{CCE77877-ACB6-417D-92FA-F4989A663560}"/>
    <cellStyle name="Heading 1 2 2 2 3 2" xfId="7574" xr:uid="{C876B216-B1D7-4780-A6BD-04ED53DED5EB}"/>
    <cellStyle name="Heading 1 2 2 2 4" xfId="1838" xr:uid="{EC6F4EE4-6EF4-4941-BE90-C7B149A4D7B5}"/>
    <cellStyle name="Heading 1 2 2 2 4 2" xfId="7575" xr:uid="{39001790-FA1D-422C-A438-5F10B64688FF}"/>
    <cellStyle name="Heading 1 2 2 2 5" xfId="5979" xr:uid="{470A11D6-9C18-4EEC-83E2-7EAA7D72B62F}"/>
    <cellStyle name="Heading 1 2 2 3" xfId="1839" xr:uid="{7DAE81F1-0A50-47B1-B9F2-DA8D55940F16}"/>
    <cellStyle name="Heading 1 2 2 3 2" xfId="7576" xr:uid="{5C4A7889-6549-4F79-8B2E-6CB0FF25E913}"/>
    <cellStyle name="Heading 1 2 2 4" xfId="1840" xr:uid="{BFE85298-7C55-4A2F-9523-B4D1E223B2EC}"/>
    <cellStyle name="Heading 1 2 2 4 2" xfId="7577" xr:uid="{57E00AC7-168B-420A-8F48-DBA061E8709E}"/>
    <cellStyle name="Heading 1 2 2 5" xfId="1841" xr:uid="{63F5EC6F-626D-4552-88DD-229FA6A02784}"/>
    <cellStyle name="Heading 1 2 2 5 2" xfId="7578" xr:uid="{86BDCCC7-F362-4286-A2C4-FD198B32C4CC}"/>
    <cellStyle name="Heading 1 2 2 6" xfId="5978" xr:uid="{14628006-B2EF-445D-9AC8-A7BDA73BE4D6}"/>
    <cellStyle name="Heading 1 2 3" xfId="5980" xr:uid="{9099D13B-BBDC-4CF0-B9AA-6ECCDBD278C1}"/>
    <cellStyle name="Heading 1 2 3 2" xfId="5981" xr:uid="{6FBB8A97-BED6-4FC5-AB6C-9B7D85E97161}"/>
    <cellStyle name="Heading 1 2 4" xfId="5982" xr:uid="{D9C03C5D-8CBC-411E-9ACE-9B25B888B0DC}"/>
    <cellStyle name="Heading 1 2 4 2" xfId="5983" xr:uid="{8649ED38-2268-40AD-8BFE-5895B0F0E046}"/>
    <cellStyle name="Heading 1 2 5" xfId="5984" xr:uid="{64BDDB87-DFE5-4350-82F3-2A4C0D27DB21}"/>
    <cellStyle name="Heading 1 2 5 2" xfId="5985" xr:uid="{135E79A6-8A8C-4F01-94EC-5F847DF6B1C1}"/>
    <cellStyle name="Heading 1 2 6" xfId="5986" xr:uid="{E486C89E-BB88-48C5-AD35-2395C1BC86D5}"/>
    <cellStyle name="Heading 1 2 6 2" xfId="5987" xr:uid="{4F028F1D-C00F-45D4-A147-87F7DB1B14FD}"/>
    <cellStyle name="Heading 1 2 7" xfId="5988" xr:uid="{815BE5F2-1961-49F5-9926-829721C3C518}"/>
    <cellStyle name="Heading 1 2 8" xfId="5989" xr:uid="{2D023CA1-BC5A-4E11-9243-DD25F0635A3D}"/>
    <cellStyle name="Heading 1 20" xfId="1842" xr:uid="{F01C3B42-D4D9-4983-AD80-BD2E9D966839}"/>
    <cellStyle name="Heading 1 20 2" xfId="5990" xr:uid="{6379034D-B892-4B39-9D40-EB27952D513A}"/>
    <cellStyle name="Heading 1 21" xfId="1843" xr:uid="{1974D481-7EFF-4A29-A8F2-2E2CA081262E}"/>
    <cellStyle name="Heading 1 21 2" xfId="5991" xr:uid="{8FE6B665-8746-43C2-BD4B-2029CB2F609A}"/>
    <cellStyle name="Heading 1 22" xfId="1844" xr:uid="{4E225462-0636-4DF3-80FC-A5CC1B4240ED}"/>
    <cellStyle name="Heading 1 23" xfId="1845" xr:uid="{242F86CD-649B-4D27-BDEC-6C3CACC1EAA0}"/>
    <cellStyle name="Heading 1 24" xfId="1846" xr:uid="{6B2B2646-18A8-4CE1-901B-E04464B38D08}"/>
    <cellStyle name="Heading 1 25" xfId="1847" xr:uid="{57E0BA49-3DDE-492C-8ACB-CDA3FA26CAC8}"/>
    <cellStyle name="Heading 1 26" xfId="1848" xr:uid="{EAF03DA3-D6CA-479C-A08E-AD3C7E10A42F}"/>
    <cellStyle name="Heading 1 26 2" xfId="7579" xr:uid="{E3E63D4E-1DAF-446D-B4B4-BFC382EA47EF}"/>
    <cellStyle name="Heading 1 3" xfId="1849" xr:uid="{4A9B9E08-3F40-4B35-9C19-7C239890B9E6}"/>
    <cellStyle name="Heading 1 3 2" xfId="1850" xr:uid="{B9722925-9C90-4323-A5D9-CC0F2A9EF4AB}"/>
    <cellStyle name="Heading 1 3 2 2" xfId="1851" xr:uid="{F552FC35-C6E3-43C1-B552-C2F9834F43F9}"/>
    <cellStyle name="Heading 1 3 2 2 2" xfId="7580" xr:uid="{33E27E92-2E95-475C-B757-7F955D8FD3D3}"/>
    <cellStyle name="Heading 1 3 2 3" xfId="1852" xr:uid="{E8B60827-E945-4761-B60D-03FD78DFC2DA}"/>
    <cellStyle name="Heading 1 3 2 3 2" xfId="7581" xr:uid="{8A09485E-8881-4DC5-9143-7C4668D47D22}"/>
    <cellStyle name="Heading 1 3 2 4" xfId="1853" xr:uid="{EDB6EC67-48FC-452F-B171-26F69CEE6139}"/>
    <cellStyle name="Heading 1 3 2 4 2" xfId="7582" xr:uid="{9232C464-95FF-4795-9A44-29D03DC448D0}"/>
    <cellStyle name="Heading 1 3 2 5" xfId="5992" xr:uid="{EEFD86E6-C6AC-42D4-AD59-EC5FE1D30566}"/>
    <cellStyle name="Heading 1 3 3" xfId="5993" xr:uid="{47DA4CE2-22E3-4A55-BB3B-08C2E7998B5E}"/>
    <cellStyle name="Heading 1 3 4" xfId="5994" xr:uid="{19DE1772-78E4-4887-B382-B9B724815949}"/>
    <cellStyle name="Heading 1 3 5" xfId="5995" xr:uid="{E150E8EC-006E-4FB2-B3CD-8149C47F1B0F}"/>
    <cellStyle name="Heading 1 3 6" xfId="5996" xr:uid="{45AD50F9-D240-4C33-8EA6-4326D44E42C4}"/>
    <cellStyle name="Heading 1 3 7" xfId="5997" xr:uid="{5075161D-E84B-45E0-AEEE-BD98AF957C48}"/>
    <cellStyle name="Heading 1 3 8" xfId="3403" xr:uid="{4F2F96FD-C0F0-4BDC-B63B-0AD325080D97}"/>
    <cellStyle name="Heading 1 3_Calc Data" xfId="5998" xr:uid="{7CF0EE7E-F90E-464B-9A23-2E4805A0E1EF}"/>
    <cellStyle name="Heading 1 4" xfId="1854" xr:uid="{73F783B6-845A-4D36-955B-DA94C6315AAB}"/>
    <cellStyle name="Heading 1 4 2" xfId="1855" xr:uid="{E65F2741-36E5-430F-8817-7791F24BA7D4}"/>
    <cellStyle name="Heading 1 4 2 2" xfId="1856" xr:uid="{40DE1824-A718-41A6-A6A0-F3D9CB7C0CB3}"/>
    <cellStyle name="Heading 1 4 2 2 2" xfId="7583" xr:uid="{2C47E649-D811-4739-BD34-89E2315856E1}"/>
    <cellStyle name="Heading 1 4 2 3" xfId="1857" xr:uid="{264E8397-C6CE-41DF-8A2D-F66C109C565A}"/>
    <cellStyle name="Heading 1 4 2 3 2" xfId="7584" xr:uid="{4A03C9F1-4BC2-45C0-8414-1C2A7FBD3AB5}"/>
    <cellStyle name="Heading 1 4 2 4" xfId="1858" xr:uid="{8A6B5A9E-D749-4E1B-A474-C2CCE257E4E2}"/>
    <cellStyle name="Heading 1 4 2 4 2" xfId="7585" xr:uid="{350528E5-4A68-42A8-B383-2DDB7553623E}"/>
    <cellStyle name="Heading 1 4 2 5" xfId="6000" xr:uid="{85119CE5-9950-4823-BAC4-B69D0761C2C4}"/>
    <cellStyle name="Heading 1 4 3" xfId="6001" xr:uid="{58D593C6-18AE-45F5-82E0-DE41D60BDB4A}"/>
    <cellStyle name="Heading 1 4 4" xfId="6002" xr:uid="{FDF47393-CFDE-4B56-A50B-51A8C0D1391A}"/>
    <cellStyle name="Heading 1 4 5" xfId="6003" xr:uid="{E34D81D0-8F3C-48A3-9F23-5E6C8A5E5386}"/>
    <cellStyle name="Heading 1 4 6" xfId="6004" xr:uid="{A7E65F3F-A42F-4CB8-819A-E137E95DC917}"/>
    <cellStyle name="Heading 1 4 7" xfId="6005" xr:uid="{4894714A-E8EA-449F-96B4-35BAB0E31387}"/>
    <cellStyle name="Heading 1 4 8" xfId="5999" xr:uid="{A4C249D2-56F8-4B76-A3A8-B40B291284B7}"/>
    <cellStyle name="Heading 1 4_Calc Data" xfId="6006" xr:uid="{41B1C11F-D859-4CA5-BF8D-DE4EFC1CEB5A}"/>
    <cellStyle name="Heading 1 5" xfId="1859" xr:uid="{8CB40705-80F2-4AEC-A16C-44911375FA94}"/>
    <cellStyle name="Heading 1 5 2" xfId="1860" xr:uid="{08943E2E-2DAC-4D58-818A-805A79F859DB}"/>
    <cellStyle name="Heading 1 5 2 2" xfId="1861" xr:uid="{90045374-B742-4CB6-8E3F-72AAF48CD709}"/>
    <cellStyle name="Heading 1 5 2 2 2" xfId="7586" xr:uid="{6FBC5A9F-1A30-42DE-87BC-971B7F4AF080}"/>
    <cellStyle name="Heading 1 5 2 3" xfId="1862" xr:uid="{B366506F-6816-47B6-AB92-576823FE2AE8}"/>
    <cellStyle name="Heading 1 5 2 3 2" xfId="7587" xr:uid="{5E28B409-CBA6-410A-AEB9-8170EF80ACFD}"/>
    <cellStyle name="Heading 1 5 2 4" xfId="1863" xr:uid="{1664589F-8F49-4171-994D-9B9E2B942E44}"/>
    <cellStyle name="Heading 1 5 2 4 2" xfId="7588" xr:uid="{054A2368-D56E-47B4-8CD6-D8C26ED5DFC6}"/>
    <cellStyle name="Heading 1 5 2 5" xfId="6008" xr:uid="{BD4C4750-720F-4C29-9AA5-FE98A1589E23}"/>
    <cellStyle name="Heading 1 5 3" xfId="6009" xr:uid="{8B442B3D-72F7-4BA1-8F42-0486AFA07E4F}"/>
    <cellStyle name="Heading 1 5 4" xfId="6010" xr:uid="{FA42136C-9DFB-482C-A137-B85FB1C9C811}"/>
    <cellStyle name="Heading 1 5 5" xfId="6011" xr:uid="{375DF590-73D4-4A95-9D64-3C8BFEFE1542}"/>
    <cellStyle name="Heading 1 5 6" xfId="6012" xr:uid="{D495E318-B772-40F5-A6EB-0CFE99D51DFC}"/>
    <cellStyle name="Heading 1 5 7" xfId="6013" xr:uid="{4F3C4815-61F9-467A-BB35-1BFD54ABDE97}"/>
    <cellStyle name="Heading 1 5 8" xfId="6007" xr:uid="{02F78AA9-0AD2-469B-904D-9B8C7BC2C799}"/>
    <cellStyle name="Heading 1 5_Calc Data" xfId="6014" xr:uid="{46F5892E-3F65-48F8-A5D8-C1BB83AC2008}"/>
    <cellStyle name="Heading 1 6" xfId="1864" xr:uid="{24CD23BA-E5E5-46AB-9F32-26501B9F6C55}"/>
    <cellStyle name="Heading 1 6 2" xfId="1865" xr:uid="{8CB3D5A0-0783-4CD9-9601-890894FDBE56}"/>
    <cellStyle name="Heading 1 6 2 2" xfId="1866" xr:uid="{1446880A-7A3D-4B8F-922A-6E6199096D79}"/>
    <cellStyle name="Heading 1 6 2 2 2" xfId="7589" xr:uid="{9750D2CB-A2BB-49F3-96DD-3E6B2551A0D9}"/>
    <cellStyle name="Heading 1 6 2 3" xfId="1867" xr:uid="{4EA9D0A4-5444-4949-8575-015BAC46E85E}"/>
    <cellStyle name="Heading 1 6 2 3 2" xfId="7590" xr:uid="{DEE4BBCC-DC30-494E-9485-392DE25142A1}"/>
    <cellStyle name="Heading 1 6 2 4" xfId="1868" xr:uid="{787E6E51-C186-4F8B-8C20-CD18BEA1F4F6}"/>
    <cellStyle name="Heading 1 6 2 4 2" xfId="7591" xr:uid="{E1C5EC15-7E1A-4D6C-BF99-4EFCFDF8F404}"/>
    <cellStyle name="Heading 1 6 2 5" xfId="6016" xr:uid="{4DC2717E-D09B-4F9D-BC22-3FA59A86983E}"/>
    <cellStyle name="Heading 1 6 3" xfId="6017" xr:uid="{EEC5B321-39CC-477B-AAC4-FD544DF045A7}"/>
    <cellStyle name="Heading 1 6 4" xfId="6018" xr:uid="{DC9D1BCC-A908-4E17-A926-627BEE78AAB2}"/>
    <cellStyle name="Heading 1 6 5" xfId="6019" xr:uid="{D745B056-8771-4C69-961C-3CD40236F0B2}"/>
    <cellStyle name="Heading 1 6 6" xfId="6020" xr:uid="{E5967694-A3A9-4C81-91C9-7797BE0F11B6}"/>
    <cellStyle name="Heading 1 6 7" xfId="6021" xr:uid="{D07F9DF6-CB7F-4BB1-B3F1-586372500F36}"/>
    <cellStyle name="Heading 1 6 8" xfId="6015" xr:uid="{2D2128CB-22F0-4A76-943C-15A00B1D0069}"/>
    <cellStyle name="Heading 1 7" xfId="1869" xr:uid="{77E7C4F0-A2F9-40CC-A80F-5913C9B85339}"/>
    <cellStyle name="Heading 1 7 2" xfId="1870" xr:uid="{A7DD7ADC-EE08-4170-96EE-D5642BE7067E}"/>
    <cellStyle name="Heading 1 7 2 2" xfId="1871" xr:uid="{CA3DEC8F-7B6D-4C7D-A7F2-A9CDF23FDB10}"/>
    <cellStyle name="Heading 1 7 2 2 2" xfId="7592" xr:uid="{A1AF4651-9F8C-4373-9A01-B52451422CB2}"/>
    <cellStyle name="Heading 1 7 2 3" xfId="1872" xr:uid="{555A0C92-F42F-4C31-9685-CA6E9E2872A3}"/>
    <cellStyle name="Heading 1 7 2 3 2" xfId="7593" xr:uid="{B1096323-462D-4854-B497-4E6D8CFF8A97}"/>
    <cellStyle name="Heading 1 7 2 4" xfId="1873" xr:uid="{DAC55353-173D-427B-8232-A1D07152CEBB}"/>
    <cellStyle name="Heading 1 7 2 4 2" xfId="7594" xr:uid="{C6754E3E-82A0-485B-B88D-CCC2E6135E31}"/>
    <cellStyle name="Heading 1 7 2 5" xfId="6022" xr:uid="{C46EDD4E-1C36-418A-A537-63CD7676D3E9}"/>
    <cellStyle name="Heading 1 7 3" xfId="6023" xr:uid="{5FA9DE18-ED9A-4E49-AD07-A14812C95242}"/>
    <cellStyle name="Heading 1 7 4" xfId="6024" xr:uid="{C81C3AC3-79D1-4C12-A946-D653826C6AC4}"/>
    <cellStyle name="Heading 1 7 5" xfId="6025" xr:uid="{0D47639C-692A-479D-9A38-5186DF934858}"/>
    <cellStyle name="Heading 1 7 6" xfId="6026" xr:uid="{C78D6C65-8923-4A58-AC4F-E268733306E4}"/>
    <cellStyle name="Heading 1 7 7" xfId="6027" xr:uid="{2A276CF5-42CF-431B-A29E-5384FD507A95}"/>
    <cellStyle name="Heading 1 8" xfId="1874" xr:uid="{5B8FEA62-9047-4614-9295-4BF9140A7130}"/>
    <cellStyle name="Heading 1 8 2" xfId="1875" xr:uid="{FC6DFDAD-7FD4-4DED-803B-92530472C2FE}"/>
    <cellStyle name="Heading 1 8 2 2" xfId="1876" xr:uid="{9410CA92-D3A6-41DD-B0E3-C04F97F5045B}"/>
    <cellStyle name="Heading 1 8 2 2 2" xfId="7595" xr:uid="{BD5FF826-16E9-4A77-87D9-7710586EB976}"/>
    <cellStyle name="Heading 1 8 2 3" xfId="1877" xr:uid="{E7087115-AAF6-42C8-A03B-4501C74104C9}"/>
    <cellStyle name="Heading 1 8 2 3 2" xfId="7596" xr:uid="{D8229FC1-4CE5-41A3-8D4A-4288D546FFDD}"/>
    <cellStyle name="Heading 1 8 2 4" xfId="1878" xr:uid="{61ECCB51-C18E-4720-93C8-E9F5AE5D0AEE}"/>
    <cellStyle name="Heading 1 8 2 4 2" xfId="7597" xr:uid="{6F54D515-59AE-459B-9AA8-D29A395B3A33}"/>
    <cellStyle name="Heading 1 8 2 5" xfId="6028" xr:uid="{EA677B3D-0185-4992-BBD5-B18ED53DB156}"/>
    <cellStyle name="Heading 1 8 3" xfId="6029" xr:uid="{65EE9126-C1FF-4825-862F-8FFDC55D2277}"/>
    <cellStyle name="Heading 1 8 4" xfId="6030" xr:uid="{3D1CF7B6-A821-42EB-9A9B-65612F88D4B4}"/>
    <cellStyle name="Heading 1 8 5" xfId="6031" xr:uid="{B22E5E67-46CD-46DD-B614-D7EA912EEE9E}"/>
    <cellStyle name="Heading 1 8 6" xfId="6032" xr:uid="{B7D444FD-1D5D-4A9B-B0D7-97F500975510}"/>
    <cellStyle name="Heading 1 8 7" xfId="6033" xr:uid="{E8489532-BDEC-4BDF-BCA1-5558DC1A6948}"/>
    <cellStyle name="Heading 1 9" xfId="1879" xr:uid="{29A3B1E3-1312-4732-A184-9A3C458376E0}"/>
    <cellStyle name="Heading 1 9 2" xfId="1880" xr:uid="{A7DD130D-6487-45C5-92E4-CC3A7806BB71}"/>
    <cellStyle name="Heading 1 9 2 2" xfId="1881" xr:uid="{A8C39FF7-8246-4135-9D90-A1CE5881A77A}"/>
    <cellStyle name="Heading 1 9 2 2 2" xfId="7598" xr:uid="{E76024B1-D32C-4F93-B07E-D7CB9D11183C}"/>
    <cellStyle name="Heading 1 9 2 3" xfId="1882" xr:uid="{F5F10AD7-FC1A-4A6D-A8CE-5CD6CAC0D412}"/>
    <cellStyle name="Heading 1 9 2 3 2" xfId="7599" xr:uid="{A51521DF-AA16-4ED5-A4DF-5B99326BC5C5}"/>
    <cellStyle name="Heading 1 9 2 4" xfId="1883" xr:uid="{0D46484E-CFCB-43FF-8E89-4D1464585484}"/>
    <cellStyle name="Heading 1 9 2 4 2" xfId="7600" xr:uid="{3C7CB3F1-DED5-4F6A-99F7-539EBA7F3709}"/>
    <cellStyle name="Heading 1 9 2 5" xfId="6034" xr:uid="{1C4807E4-1F88-48BF-8817-73B43DCDFA93}"/>
    <cellStyle name="Heading 1 9 3" xfId="6035" xr:uid="{8629BAE2-E449-449C-9459-71FB02ED2450}"/>
    <cellStyle name="Heading 1 9 4" xfId="6036" xr:uid="{D542E48E-8E37-4295-A20E-6F87460624A4}"/>
    <cellStyle name="Heading 1 9 5" xfId="6037" xr:uid="{6822B517-419A-472D-9E01-6EB92E078AE9}"/>
    <cellStyle name="Heading 1 9 6" xfId="6038" xr:uid="{3DACCBFD-AC59-4BF0-B61B-F7B457D4ACD4}"/>
    <cellStyle name="Heading 1 9 7" xfId="6039" xr:uid="{F7081B54-7B5B-40C3-AD6F-88C277A51090}"/>
    <cellStyle name="Heading 2 10" xfId="1884" xr:uid="{FAA35E59-747F-47F6-AD11-664094D5E902}"/>
    <cellStyle name="Heading 2 10 2" xfId="1885" xr:uid="{64672996-E3B9-4790-BEFA-6FFFEA420383}"/>
    <cellStyle name="Heading 2 10 2 2" xfId="1886" xr:uid="{C4483418-FD51-480C-9CED-5A5CAAE59D27}"/>
    <cellStyle name="Heading 2 10 2 3" xfId="1887" xr:uid="{DAD00CD6-A90A-4A75-80DD-941A009D1A1F}"/>
    <cellStyle name="Heading 2 10 2 4" xfId="6040" xr:uid="{EC0B03B9-2AA8-4D20-AE5B-BF9361ECDEF1}"/>
    <cellStyle name="Heading 2 10 3" xfId="6041" xr:uid="{BBCBC784-DEC8-4719-8287-518736091BA0}"/>
    <cellStyle name="Heading 2 10 4" xfId="6042" xr:uid="{1AFB46FC-9E31-4C5E-84DD-300AD81C4FB2}"/>
    <cellStyle name="Heading 2 10 5" xfId="6043" xr:uid="{C4D31A47-4088-4F2B-8639-E0A081EE377D}"/>
    <cellStyle name="Heading 2 10 6" xfId="6044" xr:uid="{36081D30-F5D7-4C2E-83A5-6421C6D6BB4C}"/>
    <cellStyle name="Heading 2 10 7" xfId="6045" xr:uid="{FE0FE554-7159-49D8-8C52-2DB1AD051A1B}"/>
    <cellStyle name="Heading 2 11" xfId="1888" xr:uid="{5413C4FE-27F3-4CC0-B4DB-F4DF57540018}"/>
    <cellStyle name="Heading 2 11 2" xfId="1889" xr:uid="{260CC6A0-590C-43F6-B198-B152B3D74FA8}"/>
    <cellStyle name="Heading 2 11 2 2" xfId="1890" xr:uid="{CBDB6816-547A-4C10-9FF0-2B183FDABE8D}"/>
    <cellStyle name="Heading 2 11 2 3" xfId="1891" xr:uid="{43F93B0B-03B2-495D-ACDD-4EAC7E4FB0FE}"/>
    <cellStyle name="Heading 2 11 2 4" xfId="6046" xr:uid="{2874BA29-A05F-41E2-98FF-593A5190F45B}"/>
    <cellStyle name="Heading 2 11 3" xfId="6047" xr:uid="{6BEC8D38-6F01-4765-AEEA-A994A0C088E3}"/>
    <cellStyle name="Heading 2 11 4" xfId="6048" xr:uid="{16A0C885-DCDF-4CC4-950E-89650DA46BED}"/>
    <cellStyle name="Heading 2 11 5" xfId="6049" xr:uid="{287F1B66-F5C7-46A8-BD05-6A0CCE91ABB4}"/>
    <cellStyle name="Heading 2 11 6" xfId="6050" xr:uid="{7931587A-BBB3-45AF-8AD6-54E05BEEDF1A}"/>
    <cellStyle name="Heading 2 11 7" xfId="6051" xr:uid="{3C0A0C0B-D65C-499D-9EC5-3ECF6AD41334}"/>
    <cellStyle name="Heading 2 12" xfId="1892" xr:uid="{22D2FC96-76F1-4EEE-8316-65C87AE36C93}"/>
    <cellStyle name="Heading 2 12 2" xfId="1893" xr:uid="{D9BE41F1-D912-4627-897A-2623AD95D85D}"/>
    <cellStyle name="Heading 2 12 2 2" xfId="1894" xr:uid="{1321567A-B4F4-494B-B236-BCDA48A63BDD}"/>
    <cellStyle name="Heading 2 12 2 3" xfId="1895" xr:uid="{911C3E39-6267-46B9-8667-5E733FCD2C52}"/>
    <cellStyle name="Heading 2 12 2 4" xfId="6052" xr:uid="{0ECE4F06-BEA4-42C4-B383-0F70A751095C}"/>
    <cellStyle name="Heading 2 12 3" xfId="6053" xr:uid="{87F2EC79-6E3B-491A-B5FD-1AD3987E9128}"/>
    <cellStyle name="Heading 2 12 4" xfId="6054" xr:uid="{68F2DF3A-93F7-4CBB-BD56-FCDF6709F3D9}"/>
    <cellStyle name="Heading 2 12 5" xfId="6055" xr:uid="{A1090D2E-0A87-43CB-8FDB-95AC651C5201}"/>
    <cellStyle name="Heading 2 12 6" xfId="6056" xr:uid="{C59719A5-4E64-4CF2-8995-F5DD71D45A87}"/>
    <cellStyle name="Heading 2 12 7" xfId="6057" xr:uid="{7B686346-88AB-4FDF-8CBD-71728D699EA6}"/>
    <cellStyle name="Heading 2 13" xfId="1896" xr:uid="{15C239B5-2C8E-4959-83A9-3B832E1F66B1}"/>
    <cellStyle name="Heading 2 13 2" xfId="6058" xr:uid="{AB3A182F-AB4E-4F29-B770-10C530CD78A8}"/>
    <cellStyle name="Heading 2 14" xfId="1897" xr:uid="{C7CFFE08-0046-46A9-BC24-EAE307B76E23}"/>
    <cellStyle name="Heading 2 14 2" xfId="6059" xr:uid="{20D7B12C-CA98-4765-A497-DF150BFDD199}"/>
    <cellStyle name="Heading 2 15" xfId="1898" xr:uid="{B03107EA-C8A2-454E-998B-92220CED5CF6}"/>
    <cellStyle name="Heading 2 15 2" xfId="6060" xr:uid="{507C5ED3-0D17-4B48-9246-3BF17D273B07}"/>
    <cellStyle name="Heading 2 16" xfId="1899" xr:uid="{4D0929C4-1637-41E3-A5D6-E1376A158E33}"/>
    <cellStyle name="Heading 2 16 2" xfId="6061" xr:uid="{24C863C8-09CA-46ED-B407-DB7ECADF3EC0}"/>
    <cellStyle name="Heading 2 17" xfId="1900" xr:uid="{A7C2A5C6-FCBE-45B7-BFF7-2BC1F6A6D5D0}"/>
    <cellStyle name="Heading 2 17 2" xfId="6062" xr:uid="{55E03D3B-7086-49D2-9057-710400F00F4A}"/>
    <cellStyle name="Heading 2 18" xfId="1901" xr:uid="{7FA1ED72-DBB0-49AA-82C8-A63827B7197B}"/>
    <cellStyle name="Heading 2 18 2" xfId="6063" xr:uid="{CD2E3DB9-9A8C-4EF5-B2FB-CF3A24937CFB}"/>
    <cellStyle name="Heading 2 19" xfId="1902" xr:uid="{7E697195-F4D2-4D8D-8DFD-97D197BF1F08}"/>
    <cellStyle name="Heading 2 19 2" xfId="6064" xr:uid="{86CA838D-A521-4D59-BF1D-87D7747DB41A}"/>
    <cellStyle name="Heading 2 2" xfId="1903" xr:uid="{E80D4F00-E32D-44E1-815E-11D8974997A6}"/>
    <cellStyle name="Heading 2 2 2" xfId="1904" xr:uid="{23E910C7-0C96-421D-88E6-E399A05D275B}"/>
    <cellStyle name="Heading 2 2 2 2" xfId="1905" xr:uid="{18D20602-AF74-4FDC-B7D9-A10C735A4669}"/>
    <cellStyle name="Heading 2 2 2 2 2" xfId="1906" xr:uid="{0D4B48D7-5086-4D90-A922-76E0C9B34247}"/>
    <cellStyle name="Heading 2 2 2 2 3" xfId="1907" xr:uid="{3B52B8CA-3004-4DD0-99C9-343C1721E6DA}"/>
    <cellStyle name="Heading 2 2 2 2 4" xfId="6066" xr:uid="{1F5D2B59-2CDA-4B54-8A2A-7A96B52E9567}"/>
    <cellStyle name="Heading 2 2 2 3" xfId="1908" xr:uid="{49B76D19-B065-43F6-BED5-6929EBD449F1}"/>
    <cellStyle name="Heading 2 2 2 4" xfId="1909" xr:uid="{8D0A08EF-BEED-45AD-A9C3-8A7F1B0AA21E}"/>
    <cellStyle name="Heading 2 2 2 5" xfId="6065" xr:uid="{FE14D53D-5AB7-45A6-8D20-E09C18D3675F}"/>
    <cellStyle name="Heading 2 2 3" xfId="6067" xr:uid="{47C28757-6356-4872-9568-0EFB64D479C2}"/>
    <cellStyle name="Heading 2 2 3 2" xfId="6068" xr:uid="{40414DC5-A242-4B70-B04F-7C7979615461}"/>
    <cellStyle name="Heading 2 2 4" xfId="6069" xr:uid="{416C8904-CFEB-44D8-8BA7-D7D83F765538}"/>
    <cellStyle name="Heading 2 2 4 2" xfId="6070" xr:uid="{19674500-E997-47A0-B888-7A5871C1233A}"/>
    <cellStyle name="Heading 2 2 5" xfId="6071" xr:uid="{84706DB8-89F1-47D8-8C3A-E4BC0458C5FE}"/>
    <cellStyle name="Heading 2 2 5 2" xfId="6072" xr:uid="{F9414350-9AFF-4905-A889-63A1BDAF779E}"/>
    <cellStyle name="Heading 2 2 6" xfId="6073" xr:uid="{ADC03CE4-CA9A-41A2-A2E5-4333D7AADF2E}"/>
    <cellStyle name="Heading 2 2 6 2" xfId="6074" xr:uid="{9AAB1A56-F2DA-4A84-8C18-B583AADD7571}"/>
    <cellStyle name="Heading 2 2 7" xfId="6075" xr:uid="{B5D35523-AFE9-4FFA-A662-5429C51F0D96}"/>
    <cellStyle name="Heading 2 2 8" xfId="6076" xr:uid="{08F789C7-D2F4-4243-AE98-B0BD0495818E}"/>
    <cellStyle name="Heading 2 20" xfId="1910" xr:uid="{50A8E950-8B5A-4877-9227-D372F3F767C1}"/>
    <cellStyle name="Heading 2 20 2" xfId="6077" xr:uid="{E5A4E67E-60F3-4200-8315-489383D5A028}"/>
    <cellStyle name="Heading 2 21" xfId="1911" xr:uid="{5BFB9F1A-5B5E-480E-A661-18C32654B9FC}"/>
    <cellStyle name="Heading 2 21 2" xfId="6078" xr:uid="{62B39C34-3B03-4628-BDE1-9E244285AB6F}"/>
    <cellStyle name="Heading 2 22" xfId="1912" xr:uid="{BC5CBEDF-BBBF-4187-83EC-44EECC1A1569}"/>
    <cellStyle name="Heading 2 23" xfId="1913" xr:uid="{F7574381-9A59-4EBF-ACFF-ADE501418344}"/>
    <cellStyle name="Heading 2 24" xfId="1914" xr:uid="{A1D0087F-0290-4BE0-AC24-1BC29C94AA9A}"/>
    <cellStyle name="Heading 2 25" xfId="1915" xr:uid="{CAE70126-51FD-41DF-8B84-713016C90FE8}"/>
    <cellStyle name="Heading 2 26" xfId="1916" xr:uid="{6315020B-0793-4FDE-81A9-141CAF123774}"/>
    <cellStyle name="Heading 2 3" xfId="1917" xr:uid="{E7A95CBE-16CF-4B89-8A42-DF3F7C7737BF}"/>
    <cellStyle name="Heading 2 3 2" xfId="1918" xr:uid="{FE949477-D156-4C04-B48E-DEF63FE950A3}"/>
    <cellStyle name="Heading 2 3 2 2" xfId="1919" xr:uid="{AA9997F7-42CC-433E-A808-A70A263CDDE2}"/>
    <cellStyle name="Heading 2 3 2 3" xfId="1920" xr:uid="{9EE15A49-44DE-46B2-B454-D0DE864D71B7}"/>
    <cellStyle name="Heading 2 3 2 4" xfId="6079" xr:uid="{CCDD5F8C-C45C-4D68-858E-BF9CADD3237E}"/>
    <cellStyle name="Heading 2 3 3" xfId="6080" xr:uid="{1741DE6A-22AA-43DE-B79B-0726148B14A0}"/>
    <cellStyle name="Heading 2 3 4" xfId="6081" xr:uid="{254A245B-697E-43D9-B957-EB2BA1D4F3AD}"/>
    <cellStyle name="Heading 2 3 5" xfId="6082" xr:uid="{E77B4C91-0046-4B21-B682-3B40D7EE366D}"/>
    <cellStyle name="Heading 2 3 6" xfId="6083" xr:uid="{89266A13-E5A8-49F7-A23D-256F175AE5B0}"/>
    <cellStyle name="Heading 2 3 7" xfId="6084" xr:uid="{DBD8C6BB-0416-4EA4-BB00-213BBE151106}"/>
    <cellStyle name="Heading 2 3 8" xfId="3449" xr:uid="{7797652E-20E5-4FF0-9F45-FBA358E240D4}"/>
    <cellStyle name="Heading 2 3_Calc Data" xfId="6085" xr:uid="{285EE458-071D-4B5C-AED8-5DDEA762E7D1}"/>
    <cellStyle name="Heading 2 4" xfId="1921" xr:uid="{1D239E44-D2F6-4704-AC47-9081A334D152}"/>
    <cellStyle name="Heading 2 4 2" xfId="1922" xr:uid="{8D51BF61-FC08-46AC-923F-FA48EED5241C}"/>
    <cellStyle name="Heading 2 4 2 2" xfId="1923" xr:uid="{126E1638-7E96-49A3-A1AC-0EFC5B2F511A}"/>
    <cellStyle name="Heading 2 4 2 3" xfId="1924" xr:uid="{8E6AEEDC-C1D3-471B-8A17-D2285CD3FEC8}"/>
    <cellStyle name="Heading 2 4 2 4" xfId="6087" xr:uid="{D6F21CD2-4989-4BF2-9C5F-C3EF441CFEC7}"/>
    <cellStyle name="Heading 2 4 3" xfId="6088" xr:uid="{BCD1CD3F-B455-4973-92D9-FC7E90B4168F}"/>
    <cellStyle name="Heading 2 4 4" xfId="6089" xr:uid="{94CF1839-EE39-416E-8B16-141E908B2319}"/>
    <cellStyle name="Heading 2 4 5" xfId="6090" xr:uid="{EF0BC590-F2CE-42E5-AA1F-FFB40DFFEAAE}"/>
    <cellStyle name="Heading 2 4 6" xfId="6091" xr:uid="{EC7302E8-6F35-46E2-87A0-05266E9C021C}"/>
    <cellStyle name="Heading 2 4 7" xfId="6092" xr:uid="{9FB8D7B1-4E29-46D5-8249-CD7A13E7FBD2}"/>
    <cellStyle name="Heading 2 4 8" xfId="6086" xr:uid="{791B8C64-D372-4732-A5A7-BAE7F21F3DEF}"/>
    <cellStyle name="Heading 2 4_Calc Data" xfId="6093" xr:uid="{410EAC74-C43F-443B-AD2D-ED4BFD95F400}"/>
    <cellStyle name="Heading 2 5" xfId="1925" xr:uid="{49CBE176-33B7-459E-BBF2-0109C930B0CA}"/>
    <cellStyle name="Heading 2 5 2" xfId="1926" xr:uid="{AD2CBC89-095C-4CF6-8E2C-C8D9D3CFC248}"/>
    <cellStyle name="Heading 2 5 2 2" xfId="1927" xr:uid="{6FD9B086-4AB1-4958-8C2A-6E4917A083D6}"/>
    <cellStyle name="Heading 2 5 2 3" xfId="1928" xr:uid="{817C3EDA-DBDB-45FB-BBE7-61D3FD72C39E}"/>
    <cellStyle name="Heading 2 5 2 4" xfId="6095" xr:uid="{60DD598D-39BB-4754-8209-D7FE384DE552}"/>
    <cellStyle name="Heading 2 5 3" xfId="6096" xr:uid="{AA1877A2-4A9C-4E53-85A7-F7514821FDD9}"/>
    <cellStyle name="Heading 2 5 4" xfId="6097" xr:uid="{AFBA9E5E-74DE-4A69-A905-2802330946C6}"/>
    <cellStyle name="Heading 2 5 5" xfId="6098" xr:uid="{E133B810-E2E3-431A-BCA0-F73B5475BACE}"/>
    <cellStyle name="Heading 2 5 6" xfId="6099" xr:uid="{9D0CDDF8-6750-48C4-9DFF-F5D669AD89EB}"/>
    <cellStyle name="Heading 2 5 7" xfId="6100" xr:uid="{C4D9DCBC-5898-4333-A60C-867B96083B71}"/>
    <cellStyle name="Heading 2 5 8" xfId="6094" xr:uid="{2CD83185-26BB-4696-84AC-7E618237384D}"/>
    <cellStyle name="Heading 2 5_Calc Data" xfId="6101" xr:uid="{8DD84374-3276-435B-86C2-976AAA87AF7D}"/>
    <cellStyle name="Heading 2 6" xfId="1929" xr:uid="{6BDBE933-25F8-4240-9B74-94A3FCA59105}"/>
    <cellStyle name="Heading 2 6 2" xfId="1930" xr:uid="{E39129C4-B23E-430D-A57C-10E81ABCC95E}"/>
    <cellStyle name="Heading 2 6 2 2" xfId="1931" xr:uid="{784B1FDA-4E79-4C4F-8790-086B0851009C}"/>
    <cellStyle name="Heading 2 6 2 3" xfId="1932" xr:uid="{084E1799-E46C-4C7C-83C9-76319B623C0C}"/>
    <cellStyle name="Heading 2 6 2 4" xfId="6103" xr:uid="{54D7F6DE-03CF-46F7-A4BF-C7197AC71911}"/>
    <cellStyle name="Heading 2 6 3" xfId="6104" xr:uid="{FABD5A01-9509-4BC8-9903-15D0DAA366FC}"/>
    <cellStyle name="Heading 2 6 4" xfId="6105" xr:uid="{1D573031-9681-40A9-9D19-E20ABA111B85}"/>
    <cellStyle name="Heading 2 6 5" xfId="6106" xr:uid="{161AF9A0-E919-4D73-9DC6-1FB2C797696C}"/>
    <cellStyle name="Heading 2 6 6" xfId="6107" xr:uid="{44C6E260-D31A-4006-A951-67E5273EB872}"/>
    <cellStyle name="Heading 2 6 7" xfId="6108" xr:uid="{5681D162-198F-4C58-A385-02D4F6A895D7}"/>
    <cellStyle name="Heading 2 6 8" xfId="6102" xr:uid="{CC8015BE-9D40-497C-BE4C-E934A76F4017}"/>
    <cellStyle name="Heading 2 7" xfId="1933" xr:uid="{5787D68C-4E62-46EF-9CFF-0BFA7C5403BB}"/>
    <cellStyle name="Heading 2 7 2" xfId="1934" xr:uid="{656376E6-D606-491E-8D01-DE8898DE0DE1}"/>
    <cellStyle name="Heading 2 7 2 2" xfId="1935" xr:uid="{C2B6ECDF-0972-40A9-B141-50CE6F49C392}"/>
    <cellStyle name="Heading 2 7 2 3" xfId="1936" xr:uid="{507AFFF7-4FB5-4BFB-B4A7-6D11C7BB234E}"/>
    <cellStyle name="Heading 2 7 2 4" xfId="6109" xr:uid="{5D3F4985-F0BC-4BBD-96C8-510426FEDFC4}"/>
    <cellStyle name="Heading 2 7 3" xfId="6110" xr:uid="{158D29C2-DFAF-4EC4-BFB6-F854C3B4F209}"/>
    <cellStyle name="Heading 2 7 4" xfId="6111" xr:uid="{95F47359-B6A4-4544-ACFB-3DD9013F50AC}"/>
    <cellStyle name="Heading 2 7 5" xfId="6112" xr:uid="{76ECFBCF-90AA-4246-8312-16BC67DE028B}"/>
    <cellStyle name="Heading 2 7 6" xfId="6113" xr:uid="{11252893-3316-4EEF-A1E2-88639C5961A9}"/>
    <cellStyle name="Heading 2 7 7" xfId="6114" xr:uid="{2A830051-1D80-42E6-8D1F-896AC99C9A3E}"/>
    <cellStyle name="Heading 2 8" xfId="1937" xr:uid="{1584C801-E443-4735-9FC4-F46771EC0A44}"/>
    <cellStyle name="Heading 2 8 2" xfId="1938" xr:uid="{52858689-F232-4772-BCC9-D62A990DC289}"/>
    <cellStyle name="Heading 2 8 2 2" xfId="1939" xr:uid="{6D409F6A-C2DF-4B50-84A4-4BDC1F4D51FA}"/>
    <cellStyle name="Heading 2 8 2 3" xfId="1940" xr:uid="{F5867CAA-2687-4319-881D-402EF4E5EE18}"/>
    <cellStyle name="Heading 2 8 2 4" xfId="6115" xr:uid="{A4161F93-3C12-4BA7-BCDB-BA5885FF1D23}"/>
    <cellStyle name="Heading 2 8 3" xfId="6116" xr:uid="{F90F0FAD-BEF1-4C21-9F97-803DFD49251C}"/>
    <cellStyle name="Heading 2 8 4" xfId="6117" xr:uid="{57260BF9-B5AB-4C6C-A76E-2B750F1D3E1C}"/>
    <cellStyle name="Heading 2 8 5" xfId="6118" xr:uid="{ED0E1727-2DF2-4AE2-951B-ABEF4BFF45AC}"/>
    <cellStyle name="Heading 2 8 6" xfId="6119" xr:uid="{987029FD-B0D6-47EF-A07F-90FC40271B9A}"/>
    <cellStyle name="Heading 2 8 7" xfId="6120" xr:uid="{15787E51-56C7-4C97-ACCC-6CBE8F5A6049}"/>
    <cellStyle name="Heading 2 9" xfId="1941" xr:uid="{DAFD5477-9F25-433A-8DB6-83D35C3A0C38}"/>
    <cellStyle name="Heading 2 9 2" xfId="1942" xr:uid="{B043ABAC-5768-4243-8320-3D2BC456290D}"/>
    <cellStyle name="Heading 2 9 2 2" xfId="1943" xr:uid="{2E165D9C-ADB3-4614-9DF2-487BFCEA6172}"/>
    <cellStyle name="Heading 2 9 2 3" xfId="1944" xr:uid="{E690F0EF-4C83-4D51-975C-A1771427B84D}"/>
    <cellStyle name="Heading 2 9 2 4" xfId="6121" xr:uid="{7E3459AF-C190-45EA-A746-08CEF6BA53DC}"/>
    <cellStyle name="Heading 2 9 3" xfId="6122" xr:uid="{22AE39D8-7164-4203-A061-32D86F5C3049}"/>
    <cellStyle name="Heading 2 9 4" xfId="6123" xr:uid="{D7BD22E5-49CF-4312-BE83-5D26C325A12D}"/>
    <cellStyle name="Heading 2 9 5" xfId="6124" xr:uid="{D5B6501A-2F20-4DFB-B1A3-E1A8EEB84E01}"/>
    <cellStyle name="Heading 2 9 6" xfId="6125" xr:uid="{B6F7CE54-571B-4988-80FB-62A9260E8E0E}"/>
    <cellStyle name="Heading 2 9 7" xfId="6126" xr:uid="{7E932CAD-6E02-4EF9-917E-9D26876B1217}"/>
    <cellStyle name="Heading 3 10" xfId="1945" xr:uid="{64E49172-BA56-40ED-93B3-84572C51D6B8}"/>
    <cellStyle name="Heading 3 10 2" xfId="1946" xr:uid="{3612A85F-94A3-4EFF-A0B2-B5857F100B79}"/>
    <cellStyle name="Heading 3 10 2 2" xfId="1947" xr:uid="{5A5F5425-EB3D-41F2-8C96-188F6944898E}"/>
    <cellStyle name="Heading 3 10 2 2 2" xfId="7602" xr:uid="{D5A65131-4C8C-4450-B6FA-3BCC87BD7705}"/>
    <cellStyle name="Heading 3 10 2 3" xfId="1948" xr:uid="{A30F90F5-4517-4128-9F89-B7ABAFE4B20C}"/>
    <cellStyle name="Heading 3 10 2 3 2" xfId="7603" xr:uid="{2D6690A5-1090-4ECC-8D95-E75423A44755}"/>
    <cellStyle name="Heading 3 10 2 4" xfId="1949" xr:uid="{8C08B548-C6F2-4016-B45F-E6CCB4C76993}"/>
    <cellStyle name="Heading 3 10 2 4 2" xfId="7604" xr:uid="{92AC0264-84D8-4104-8802-99D92F861F7D}"/>
    <cellStyle name="Heading 3 10 2 5" xfId="6127" xr:uid="{353BBF16-C765-43D0-AAF4-B234EF312624}"/>
    <cellStyle name="Heading 3 10 2 6" xfId="7601" xr:uid="{82622D0D-2AEC-481E-AC2B-48CB22080752}"/>
    <cellStyle name="Heading 3 10 3" xfId="6128" xr:uid="{65FA8761-7B5C-4530-A46B-6BF746CFDFAE}"/>
    <cellStyle name="Heading 3 10 4" xfId="6129" xr:uid="{67F63567-93B1-407D-8E9F-9C865309F82C}"/>
    <cellStyle name="Heading 3 10 5" xfId="6130" xr:uid="{A4266521-45E2-463B-B42A-589AAC439D5C}"/>
    <cellStyle name="Heading 3 10 6" xfId="6131" xr:uid="{BD095AF1-7913-4ADC-A06F-3454E36D3D07}"/>
    <cellStyle name="Heading 3 10 7" xfId="6132" xr:uid="{18ED556A-542D-4552-AE4C-DAF5938707D7}"/>
    <cellStyle name="Heading 3 11" xfId="1950" xr:uid="{56FC603F-1A5D-4925-A9F9-225A30A08A11}"/>
    <cellStyle name="Heading 3 11 2" xfId="1951" xr:uid="{B4205B72-DE2E-477F-AA89-B200ED727841}"/>
    <cellStyle name="Heading 3 11 2 2" xfId="1952" xr:uid="{0F48988F-6E75-4594-8627-4D45970D601A}"/>
    <cellStyle name="Heading 3 11 2 2 2" xfId="7606" xr:uid="{B04B3482-3D37-4B29-AE0A-6B74DE67D2F0}"/>
    <cellStyle name="Heading 3 11 2 3" xfId="1953" xr:uid="{43FEE6C0-ABB5-4996-A6FE-D6255D4AA857}"/>
    <cellStyle name="Heading 3 11 2 3 2" xfId="7607" xr:uid="{27D59C9D-CBE6-4E6A-856B-4F3C4A40319D}"/>
    <cellStyle name="Heading 3 11 2 4" xfId="1954" xr:uid="{FB6254B9-CD5F-4536-BA39-A519FD78EF7F}"/>
    <cellStyle name="Heading 3 11 2 4 2" xfId="7608" xr:uid="{28DCC352-8689-41C5-BA4B-00B2F3FA4A78}"/>
    <cellStyle name="Heading 3 11 2 5" xfId="6133" xr:uid="{BB04D93C-8CA5-481C-9171-C2A23D937FBF}"/>
    <cellStyle name="Heading 3 11 2 6" xfId="7605" xr:uid="{910D0542-C5E5-47B3-9964-21A87930B730}"/>
    <cellStyle name="Heading 3 11 3" xfId="6134" xr:uid="{15C5EE57-0FC4-43C6-91CF-D32E7D96E88F}"/>
    <cellStyle name="Heading 3 11 4" xfId="6135" xr:uid="{FF30952A-5EC5-46C2-B840-8E2DEAF8872E}"/>
    <cellStyle name="Heading 3 11 5" xfId="6136" xr:uid="{30733454-2A29-42C9-AE9C-B7759BFD0D5C}"/>
    <cellStyle name="Heading 3 11 6" xfId="6137" xr:uid="{A573798F-7042-494C-830A-F9CD86BE4464}"/>
    <cellStyle name="Heading 3 11 7" xfId="6138" xr:uid="{14C91938-2F73-4FFB-A69F-45BCA39B7C0A}"/>
    <cellStyle name="Heading 3 12" xfId="1955" xr:uid="{63E09804-C15C-4032-9479-DCCD92C49958}"/>
    <cellStyle name="Heading 3 12 2" xfId="1956" xr:uid="{D414FBD9-8C58-4CB9-918F-1C624A71C4A4}"/>
    <cellStyle name="Heading 3 12 2 2" xfId="1957" xr:uid="{A5817570-B9F1-4C74-A6F4-91A7428FA582}"/>
    <cellStyle name="Heading 3 12 2 2 2" xfId="7610" xr:uid="{441E5C73-9304-4F20-962E-E730805599DB}"/>
    <cellStyle name="Heading 3 12 2 3" xfId="1958" xr:uid="{4492F031-7C9B-4AD5-8CB3-AE7559BB61D7}"/>
    <cellStyle name="Heading 3 12 2 3 2" xfId="7611" xr:uid="{E8036470-6684-477F-8070-BCF8159BFA1E}"/>
    <cellStyle name="Heading 3 12 2 4" xfId="1959" xr:uid="{97A3DA8A-55E9-413B-A2E1-3C206F872F6D}"/>
    <cellStyle name="Heading 3 12 2 4 2" xfId="7612" xr:uid="{578BA030-3FA1-4AA0-A6AC-182FF660DBAD}"/>
    <cellStyle name="Heading 3 12 2 5" xfId="6139" xr:uid="{35CE17FD-F1B0-472F-9A75-5767413A633E}"/>
    <cellStyle name="Heading 3 12 2 6" xfId="7609" xr:uid="{84E90489-F124-4A7C-A9E9-BAAB5991E829}"/>
    <cellStyle name="Heading 3 12 3" xfId="6140" xr:uid="{7FFA5761-06CC-45B5-95B6-9FD1474CB2E1}"/>
    <cellStyle name="Heading 3 12 4" xfId="6141" xr:uid="{FB8EC2E3-FD7F-437F-8231-58A5531BE45D}"/>
    <cellStyle name="Heading 3 12 5" xfId="6142" xr:uid="{4718A1BE-0021-4239-B6E5-C11AC8C4DF37}"/>
    <cellStyle name="Heading 3 12 6" xfId="6143" xr:uid="{6388C2BC-4F83-46E7-A15A-B66351C684DB}"/>
    <cellStyle name="Heading 3 12 7" xfId="6144" xr:uid="{910B8225-DA4B-43FF-9B25-306A1190C662}"/>
    <cellStyle name="Heading 3 13" xfId="1960" xr:uid="{E009BDFB-7780-43C1-88AD-6575A10903B8}"/>
    <cellStyle name="Heading 3 13 2" xfId="6145" xr:uid="{26AA31C6-F0BC-4440-A07C-9453F54241AF}"/>
    <cellStyle name="Heading 3 14" xfId="1961" xr:uid="{EAB97712-D21D-447D-BF31-4C2B10C8EE62}"/>
    <cellStyle name="Heading 3 14 2" xfId="6146" xr:uid="{AD66DF6C-C1EB-48CA-BD26-78ED97F793AA}"/>
    <cellStyle name="Heading 3 15" xfId="1962" xr:uid="{0DAE4665-C44C-46C3-8E70-AD4DF984A71D}"/>
    <cellStyle name="Heading 3 15 2" xfId="6147" xr:uid="{4F24C882-B0B2-437E-8141-B02B6029EA62}"/>
    <cellStyle name="Heading 3 16" xfId="1963" xr:uid="{BEC0F9B3-7EE5-464B-AF9B-5B9B4319558D}"/>
    <cellStyle name="Heading 3 16 2" xfId="6148" xr:uid="{3309EB6F-0DFB-4CCD-AF38-8A53B089792A}"/>
    <cellStyle name="Heading 3 17" xfId="1964" xr:uid="{90E2F346-9AB4-4A12-8C74-524547928838}"/>
    <cellStyle name="Heading 3 17 2" xfId="6149" xr:uid="{B3AB518B-D716-42B1-BBBF-845C446F3579}"/>
    <cellStyle name="Heading 3 18" xfId="1965" xr:uid="{FC412C1A-5176-498A-8950-52E354BC1E6D}"/>
    <cellStyle name="Heading 3 18 2" xfId="6150" xr:uid="{7F10FD3E-C24E-44E1-9858-0BA2D79DC2B5}"/>
    <cellStyle name="Heading 3 19" xfId="1966" xr:uid="{2939FC53-0C9A-4565-B9A3-0FE43631FA80}"/>
    <cellStyle name="Heading 3 19 2" xfId="6151" xr:uid="{AE31C0EE-DC81-4097-BDAC-7FFB186425A1}"/>
    <cellStyle name="Heading 3 2" xfId="1967" xr:uid="{6450554E-08BB-4957-88F8-C7ACD4C55495}"/>
    <cellStyle name="Heading 3 2 2" xfId="1968" xr:uid="{EEC9E13A-4F04-4E53-84E2-DD11C354B3C3}"/>
    <cellStyle name="Heading 3 2 2 2" xfId="1969" xr:uid="{D3AC3F8D-344E-4640-AA6C-609F48D47DD5}"/>
    <cellStyle name="Heading 3 2 2 2 2" xfId="1970" xr:uid="{774E3828-B679-4653-B020-2A2189323181}"/>
    <cellStyle name="Heading 3 2 2 2 2 2" xfId="7615" xr:uid="{529A8222-5D84-4CCA-A340-6B1A91CEF123}"/>
    <cellStyle name="Heading 3 2 2 2 3" xfId="1971" xr:uid="{75CE2E86-36A8-4A54-8034-74BAA38057CC}"/>
    <cellStyle name="Heading 3 2 2 2 3 2" xfId="7616" xr:uid="{7EF43937-F46F-43AA-BD76-B00714176295}"/>
    <cellStyle name="Heading 3 2 2 2 4" xfId="1972" xr:uid="{EDDAC694-B51A-43D6-ADAF-D52C9BF06F5B}"/>
    <cellStyle name="Heading 3 2 2 2 4 2" xfId="7617" xr:uid="{B904E1F0-C1C2-4B7B-8987-10FBDCDC29D7}"/>
    <cellStyle name="Heading 3 2 2 2 5" xfId="7614" xr:uid="{A0CE2E36-8EA8-4830-B24C-12C0B70131F9}"/>
    <cellStyle name="Heading 3 2 2 3" xfId="1973" xr:uid="{99EC062E-D3F9-45DB-BD10-7A0A1A73EBE8}"/>
    <cellStyle name="Heading 3 2 2 3 2" xfId="7618" xr:uid="{042CD110-E8A9-4CDB-8B8C-DEDA1BEE80A2}"/>
    <cellStyle name="Heading 3 2 2 4" xfId="1974" xr:uid="{4E996AF1-3BFA-4D35-805B-1370521DA783}"/>
    <cellStyle name="Heading 3 2 2 4 2" xfId="7619" xr:uid="{5D958E34-9F3C-423D-BEE4-FC87E917D863}"/>
    <cellStyle name="Heading 3 2 2 5" xfId="1975" xr:uid="{0498412E-6827-4037-9AB8-AEDDFC3D2F20}"/>
    <cellStyle name="Heading 3 2 2 5 2" xfId="7620" xr:uid="{6A0A06F7-EF2F-41B7-8864-5995C85576E1}"/>
    <cellStyle name="Heading 3 2 2 6" xfId="6152" xr:uid="{E99BDF1C-C20D-490E-9528-EE07898361A5}"/>
    <cellStyle name="Heading 3 2 2 7" xfId="7613" xr:uid="{ACB45452-57C0-4BF3-9FBC-623B819047FC}"/>
    <cellStyle name="Heading 3 2 3" xfId="6153" xr:uid="{1620874B-96EB-47B4-8D14-789691B9BC9D}"/>
    <cellStyle name="Heading 3 2 4" xfId="6154" xr:uid="{290E98C8-0680-416E-8846-B9A8ECA2C4D5}"/>
    <cellStyle name="Heading 3 2 5" xfId="6155" xr:uid="{7499FE68-963E-4D95-9B41-8E56486BF5EF}"/>
    <cellStyle name="Heading 3 2 6" xfId="6156" xr:uid="{CA43E1B8-DCE0-42A3-8ACB-441A34EEF09B}"/>
    <cellStyle name="Heading 3 2 7" xfId="6157" xr:uid="{FAD208C8-0CDE-4481-820E-F7790E795D6E}"/>
    <cellStyle name="Heading 3 2 8" xfId="6158" xr:uid="{E2D4E015-3107-407D-BA0C-247A738D2D06}"/>
    <cellStyle name="Heading 3 2 9" xfId="3424" xr:uid="{2F790AB0-AC39-4698-8CBF-5A02E5894C0F}"/>
    <cellStyle name="Heading 3 20" xfId="1976" xr:uid="{96ECA893-FEC0-45F3-B3BB-64096AF625A6}"/>
    <cellStyle name="Heading 3 20 2" xfId="6159" xr:uid="{A1F9BB4F-2A16-4ADC-B55E-C74F4B0D3D54}"/>
    <cellStyle name="Heading 3 21" xfId="1977" xr:uid="{B7B84DC6-52D1-45A9-B617-6057A3323987}"/>
    <cellStyle name="Heading 3 21 2" xfId="6160" xr:uid="{3827E26B-C838-40BF-9ECA-A5B1027C7A67}"/>
    <cellStyle name="Heading 3 22" xfId="1978" xr:uid="{0C8C39B4-4CAB-4AEB-9232-036FF5EF41B1}"/>
    <cellStyle name="Heading 3 23" xfId="1979" xr:uid="{466A7695-0CE3-462A-84C5-6BF979B4528E}"/>
    <cellStyle name="Heading 3 24" xfId="1980" xr:uid="{D5504580-82F5-4FC5-8D6D-5C5F6B883BD7}"/>
    <cellStyle name="Heading 3 25" xfId="1981" xr:uid="{E9D916D7-233E-43A6-BFA7-418781F3EF4F}"/>
    <cellStyle name="Heading 3 26" xfId="1982" xr:uid="{6A816B9B-6757-4F90-BD25-8C1F9039C772}"/>
    <cellStyle name="Heading 3 26 2" xfId="7621" xr:uid="{79EA47D9-C699-49C3-9941-2FB2CD6E2FD2}"/>
    <cellStyle name="Heading 3 3" xfId="1983" xr:uid="{6F41D2E5-DF88-4CA0-B53C-0DC3D3331AC2}"/>
    <cellStyle name="Heading 3 3 2" xfId="1984" xr:uid="{335BF5A2-8ACE-4C86-A056-864B76BA697F}"/>
    <cellStyle name="Heading 3 3 2 2" xfId="1985" xr:uid="{79F31D7F-14ED-4D5D-995A-8136BA6BBB9C}"/>
    <cellStyle name="Heading 3 3 2 2 2" xfId="7623" xr:uid="{E1B439E0-17CE-45AA-8773-1E34262007F8}"/>
    <cellStyle name="Heading 3 3 2 3" xfId="1986" xr:uid="{04540356-C077-42F5-82FE-D3DC66D6D3B2}"/>
    <cellStyle name="Heading 3 3 2 3 2" xfId="7624" xr:uid="{976995A1-138F-4B22-B6CB-084BF6B242C3}"/>
    <cellStyle name="Heading 3 3 2 4" xfId="1987" xr:uid="{119875B3-10D2-4975-8175-67A01643643B}"/>
    <cellStyle name="Heading 3 3 2 4 2" xfId="7625" xr:uid="{5D39D35F-180D-4F66-B03B-E20D8654097C}"/>
    <cellStyle name="Heading 3 3 2 5" xfId="6161" xr:uid="{19A21B38-DCA8-4F55-993F-26D61212535B}"/>
    <cellStyle name="Heading 3 3 2 6" xfId="7622" xr:uid="{BC30F81E-8442-46DC-8500-4DF8E16298CD}"/>
    <cellStyle name="Heading 3 3 3" xfId="6162" xr:uid="{4AFFE55A-C55C-4EDD-9922-0703BB24BA0E}"/>
    <cellStyle name="Heading 3 3 4" xfId="6163" xr:uid="{835F7BFD-AA20-43F8-BE2B-D36CF8DB4260}"/>
    <cellStyle name="Heading 3 3 5" xfId="6164" xr:uid="{76F290C3-90E9-43AC-B987-6053572353BD}"/>
    <cellStyle name="Heading 3 3 6" xfId="6165" xr:uid="{012FE062-C680-40F6-999B-76869B789C1B}"/>
    <cellStyle name="Heading 3 3 7" xfId="6166" xr:uid="{9552E62F-7EEA-438A-B6CB-E02106E35A8D}"/>
    <cellStyle name="Heading 3 3 8" xfId="3401" xr:uid="{05DB2FDA-D8C3-4075-BCDC-DB301B1049B3}"/>
    <cellStyle name="Heading 3 3_Calc Data" xfId="6167" xr:uid="{A80E513C-909E-4718-BB70-4A2DEB869E2E}"/>
    <cellStyle name="Heading 3 4" xfId="1988" xr:uid="{BA53875F-20DE-4F1C-877E-825E09D10CC0}"/>
    <cellStyle name="Heading 3 4 2" xfId="1989" xr:uid="{BB6738DC-7F90-4B82-BE90-51D8BCA6B686}"/>
    <cellStyle name="Heading 3 4 2 2" xfId="1990" xr:uid="{1646C9B2-5765-4FD2-96F3-3F956099B541}"/>
    <cellStyle name="Heading 3 4 2 2 2" xfId="7627" xr:uid="{EADF5C3C-2A96-4119-B380-132753D33B0E}"/>
    <cellStyle name="Heading 3 4 2 3" xfId="1991" xr:uid="{EDA1E6CD-F04F-4196-B684-604B035117E2}"/>
    <cellStyle name="Heading 3 4 2 3 2" xfId="7628" xr:uid="{5B6AB8BF-DF06-4AFA-8981-31398D9865BB}"/>
    <cellStyle name="Heading 3 4 2 4" xfId="1992" xr:uid="{AC81F5BB-B39B-4198-9194-2749F0C4B94D}"/>
    <cellStyle name="Heading 3 4 2 4 2" xfId="7629" xr:uid="{00FEE653-F6A0-4082-93EC-0D77A7241B85}"/>
    <cellStyle name="Heading 3 4 2 5" xfId="6169" xr:uid="{A8ECB693-AAF4-413A-83E1-F00549E018E3}"/>
    <cellStyle name="Heading 3 4 2 6" xfId="7626" xr:uid="{37708547-DFBF-4F10-8E78-3BA3B91A13C3}"/>
    <cellStyle name="Heading 3 4 3" xfId="6170" xr:uid="{CF48C0EE-D51E-4050-9658-CC4E38ACCD82}"/>
    <cellStyle name="Heading 3 4 4" xfId="6171" xr:uid="{E43CCB94-D413-4194-A88E-831E05872EF3}"/>
    <cellStyle name="Heading 3 4 5" xfId="6172" xr:uid="{E6A0768F-2178-42A0-ADF7-6B54639A4815}"/>
    <cellStyle name="Heading 3 4 6" xfId="6173" xr:uid="{91C55F78-B294-408A-8884-F681B4402578}"/>
    <cellStyle name="Heading 3 4 7" xfId="6174" xr:uid="{5B1D0AE2-48D1-4732-ACBA-12761E4AEF9C}"/>
    <cellStyle name="Heading 3 4 8" xfId="6168" xr:uid="{23A8C592-FE30-47CE-8F9A-AD6E4F77C99C}"/>
    <cellStyle name="Heading 3 4_Calc Data" xfId="6175" xr:uid="{F91F93F0-680A-4C89-9EA5-2A0A4C47313D}"/>
    <cellStyle name="Heading 3 5" xfId="1993" xr:uid="{1D215E81-E018-40CF-A56C-A9C69745ED9D}"/>
    <cellStyle name="Heading 3 5 2" xfId="1994" xr:uid="{D8840250-71D4-4FA8-B0AD-7E8571985EB0}"/>
    <cellStyle name="Heading 3 5 2 2" xfId="1995" xr:uid="{87C14045-2C8E-47AB-905E-34E06253BF33}"/>
    <cellStyle name="Heading 3 5 2 2 2" xfId="7631" xr:uid="{A5CE6C5B-B167-431C-9E4F-420376925D27}"/>
    <cellStyle name="Heading 3 5 2 3" xfId="1996" xr:uid="{317A2BFA-B6A2-4E09-BBAF-998189FC0216}"/>
    <cellStyle name="Heading 3 5 2 3 2" xfId="7632" xr:uid="{8907E2C1-0778-43E9-82B4-988E28F7E03D}"/>
    <cellStyle name="Heading 3 5 2 4" xfId="1997" xr:uid="{2EE6BCB4-7CA6-447D-8DC0-6FEAE108291B}"/>
    <cellStyle name="Heading 3 5 2 4 2" xfId="7633" xr:uid="{E90EBD48-0BAE-4788-AA8C-4EE4B03710E2}"/>
    <cellStyle name="Heading 3 5 2 5" xfId="6177" xr:uid="{93920ED8-225E-43CF-A65B-DBD7310018F5}"/>
    <cellStyle name="Heading 3 5 2 6" xfId="7630" xr:uid="{3C04E694-666C-4950-9EA0-6104756BD2A2}"/>
    <cellStyle name="Heading 3 5 3" xfId="6178" xr:uid="{EC303912-2D49-47A1-A0FF-756B4CB72BC0}"/>
    <cellStyle name="Heading 3 5 4" xfId="6179" xr:uid="{B17A07E7-48CF-4CF5-9A41-2E23C209030A}"/>
    <cellStyle name="Heading 3 5 5" xfId="6180" xr:uid="{92BD9FC7-19CF-4DDB-BCE1-54BBE2A8D2A0}"/>
    <cellStyle name="Heading 3 5 6" xfId="6181" xr:uid="{85E03B9E-17B8-4622-A639-E78C5DF44BAD}"/>
    <cellStyle name="Heading 3 5 7" xfId="6182" xr:uid="{3C197351-177D-4315-BC10-22440F131A76}"/>
    <cellStyle name="Heading 3 5 8" xfId="6176" xr:uid="{EEEECB31-CD24-4CDC-8737-00389ED0ECA6}"/>
    <cellStyle name="Heading 3 5_Calc Data" xfId="6183" xr:uid="{32CA0C99-6643-4454-82B4-2C21F3BC5B5A}"/>
    <cellStyle name="Heading 3 6" xfId="1998" xr:uid="{98D3F1D9-E168-43A5-ADFB-909B22339053}"/>
    <cellStyle name="Heading 3 6 2" xfId="1999" xr:uid="{E6125044-8CF4-436C-A083-E3AF084D77FC}"/>
    <cellStyle name="Heading 3 6 2 2" xfId="2000" xr:uid="{989E0713-466E-4FA5-B083-BB79D18D5010}"/>
    <cellStyle name="Heading 3 6 2 2 2" xfId="7635" xr:uid="{C155964E-33C4-4FE9-8E94-B06826BBA62B}"/>
    <cellStyle name="Heading 3 6 2 3" xfId="2001" xr:uid="{53EDD448-B34A-4CA0-B83B-F2068F5B9852}"/>
    <cellStyle name="Heading 3 6 2 3 2" xfId="7636" xr:uid="{C68899B7-FA5D-49D5-96DF-B9A425336AE2}"/>
    <cellStyle name="Heading 3 6 2 4" xfId="2002" xr:uid="{951753C7-7824-4FBC-812D-980D0766FED8}"/>
    <cellStyle name="Heading 3 6 2 4 2" xfId="7637" xr:uid="{62CAE3BC-340D-4F46-98B2-7E8491E6C8C6}"/>
    <cellStyle name="Heading 3 6 2 5" xfId="6184" xr:uid="{58496799-1DCB-4ABA-AD24-5A3BD885A9E7}"/>
    <cellStyle name="Heading 3 6 2 6" xfId="7634" xr:uid="{735D0DDC-74CA-4F44-BE88-00F4E9D481EA}"/>
    <cellStyle name="Heading 3 6 3" xfId="6185" xr:uid="{029EB55C-1147-46B7-940A-53B090F5BF8F}"/>
    <cellStyle name="Heading 3 6 4" xfId="6186" xr:uid="{E8491B22-4413-4CF5-AF51-3D91F250904A}"/>
    <cellStyle name="Heading 3 6 5" xfId="6187" xr:uid="{0F68E91D-2EB2-4D3D-B449-7E2E3F5F1A1B}"/>
    <cellStyle name="Heading 3 6 6" xfId="6188" xr:uid="{18E25B2E-7625-4114-B2F5-BB20F972E59A}"/>
    <cellStyle name="Heading 3 6 7" xfId="6189" xr:uid="{8BEFB083-1015-4874-ADD5-E2821BB2DF21}"/>
    <cellStyle name="Heading 3 7" xfId="2003" xr:uid="{109E3602-8CC3-4594-86F4-A40E6B7C2228}"/>
    <cellStyle name="Heading 3 7 2" xfId="2004" xr:uid="{F300A0D0-078F-4E1B-B642-E7949ADACA5B}"/>
    <cellStyle name="Heading 3 7 2 2" xfId="2005" xr:uid="{66F111C9-09D8-4A3B-A6DC-A63075460855}"/>
    <cellStyle name="Heading 3 7 2 2 2" xfId="7639" xr:uid="{A212BCC4-DD69-4EF2-8A53-08C92AEDB892}"/>
    <cellStyle name="Heading 3 7 2 3" xfId="2006" xr:uid="{D8F49843-0D1D-4EAE-A98A-101CFD467F95}"/>
    <cellStyle name="Heading 3 7 2 3 2" xfId="7640" xr:uid="{1EEB5A9E-0024-42E4-8BE8-7DB1E2499AA1}"/>
    <cellStyle name="Heading 3 7 2 4" xfId="2007" xr:uid="{AE72FF71-CDB3-487F-AFBF-A72D65E20D26}"/>
    <cellStyle name="Heading 3 7 2 4 2" xfId="7641" xr:uid="{E59AF3BC-681F-43B8-A1FC-3F0C6E21F57C}"/>
    <cellStyle name="Heading 3 7 2 5" xfId="6190" xr:uid="{D94563CC-F0A8-4251-82A8-109B5F1E75A1}"/>
    <cellStyle name="Heading 3 7 2 6" xfId="7638" xr:uid="{58EC835D-7376-432D-864B-06EBD7903099}"/>
    <cellStyle name="Heading 3 7 3" xfId="6191" xr:uid="{08670472-1CF1-44C5-A0F3-8DBD73D5E6A6}"/>
    <cellStyle name="Heading 3 7 4" xfId="6192" xr:uid="{418F1BF5-C396-48B4-9626-15FF12DCBB96}"/>
    <cellStyle name="Heading 3 7 5" xfId="6193" xr:uid="{85375B80-4C56-4FB3-B736-0A6933FFF300}"/>
    <cellStyle name="Heading 3 7 6" xfId="6194" xr:uid="{A9C7D2CB-DFDF-4723-A47F-E04BD37E8834}"/>
    <cellStyle name="Heading 3 7 7" xfId="6195" xr:uid="{F6E7F5BA-8E53-418A-8F97-CFE0644F1920}"/>
    <cellStyle name="Heading 3 8" xfId="2008" xr:uid="{B0222132-1C98-4CEB-875D-52990BDDF3C8}"/>
    <cellStyle name="Heading 3 8 2" xfId="2009" xr:uid="{D2918D0D-3BB8-4599-AED0-A3886FECB7C0}"/>
    <cellStyle name="Heading 3 8 2 2" xfId="2010" xr:uid="{E120C705-9799-4F62-9B97-ECAF8436A3F6}"/>
    <cellStyle name="Heading 3 8 2 2 2" xfId="7643" xr:uid="{35776D24-6B0F-4B2A-945C-70D90DCE7D2D}"/>
    <cellStyle name="Heading 3 8 2 3" xfId="2011" xr:uid="{9AD520FC-28FF-4192-931C-AD67323A5503}"/>
    <cellStyle name="Heading 3 8 2 3 2" xfId="7644" xr:uid="{9815CA98-7957-42EA-B650-2F8252953766}"/>
    <cellStyle name="Heading 3 8 2 4" xfId="2012" xr:uid="{F66F86FF-6CC8-4B63-BC05-4C3693C34098}"/>
    <cellStyle name="Heading 3 8 2 4 2" xfId="7645" xr:uid="{E118CD6D-56FB-467F-A8EE-A17EBBD1DF1A}"/>
    <cellStyle name="Heading 3 8 2 5" xfId="6196" xr:uid="{2B4CF483-0104-4369-9660-959B31A60C87}"/>
    <cellStyle name="Heading 3 8 2 6" xfId="7642" xr:uid="{D871BBBF-B4A9-4B12-AF20-02C7B9BDDCFF}"/>
    <cellStyle name="Heading 3 8 3" xfId="6197" xr:uid="{3B0AC7A5-672B-4B01-B685-31C461B06314}"/>
    <cellStyle name="Heading 3 8 4" xfId="6198" xr:uid="{9F27A6D5-3AC1-46A3-B5F7-22518D0B55EE}"/>
    <cellStyle name="Heading 3 8 5" xfId="6199" xr:uid="{25E4D399-DFCD-4B07-B492-494C12E2C1DD}"/>
    <cellStyle name="Heading 3 8 6" xfId="6200" xr:uid="{B0F0760D-CF9A-4AE9-B81E-CF9A2E3D4570}"/>
    <cellStyle name="Heading 3 8 7" xfId="6201" xr:uid="{335ED95B-7F0A-4886-B5B8-4EDCDAEC3814}"/>
    <cellStyle name="Heading 3 9" xfId="2013" xr:uid="{C4A9364E-45D2-4D0D-93F9-6503B3D546CD}"/>
    <cellStyle name="Heading 3 9 2" xfId="2014" xr:uid="{86C70642-7A58-4AC5-87C9-13D7B6090D16}"/>
    <cellStyle name="Heading 3 9 2 2" xfId="2015" xr:uid="{63E78F37-7177-4599-B939-B7D9D2935EAF}"/>
    <cellStyle name="Heading 3 9 2 2 2" xfId="7647" xr:uid="{9BD6CE99-F7E4-47A3-8F92-3514DEDCF1B3}"/>
    <cellStyle name="Heading 3 9 2 3" xfId="2016" xr:uid="{B8B36658-92B6-4A29-8EFC-5D76A8A44C69}"/>
    <cellStyle name="Heading 3 9 2 3 2" xfId="7648" xr:uid="{2EE489C5-2011-46D2-A31D-303D78CF0B62}"/>
    <cellStyle name="Heading 3 9 2 4" xfId="2017" xr:uid="{1DF0F489-2371-407C-8A0A-9DDEEC9CBA58}"/>
    <cellStyle name="Heading 3 9 2 4 2" xfId="7649" xr:uid="{F25CAA0E-200A-41C1-A030-6970158FD464}"/>
    <cellStyle name="Heading 3 9 2 5" xfId="6202" xr:uid="{5406832D-DE55-468C-9407-F6B9C3E6FC32}"/>
    <cellStyle name="Heading 3 9 2 6" xfId="7646" xr:uid="{DCADD657-3874-490C-A4F6-6D8993FDEA60}"/>
    <cellStyle name="Heading 3 9 3" xfId="6203" xr:uid="{096AAD7F-1263-4389-9F71-0EA787B9F453}"/>
    <cellStyle name="Heading 3 9 4" xfId="6204" xr:uid="{5605803E-9CA0-4EE1-B0DE-4C6842EA918C}"/>
    <cellStyle name="Heading 3 9 5" xfId="6205" xr:uid="{D7399827-AE7B-4F45-A2AF-78E46E7D7F13}"/>
    <cellStyle name="Heading 3 9 6" xfId="6206" xr:uid="{62FD1FEA-26D7-4239-B1FA-99D41018C465}"/>
    <cellStyle name="Heading 3 9 7" xfId="6207" xr:uid="{779E3223-FB6B-4FB5-9C73-DE97020F062B}"/>
    <cellStyle name="Heading 4 10" xfId="2018" xr:uid="{43167FB3-5593-4CC3-9359-6869C7675152}"/>
    <cellStyle name="Heading 4 11" xfId="2019" xr:uid="{B3F2447D-A885-4FC3-921C-4A8B0A250C43}"/>
    <cellStyle name="Heading 4 12" xfId="2020" xr:uid="{1A1C9532-6AAB-4078-9ABE-87BD08943ADE}"/>
    <cellStyle name="Heading 4 13" xfId="2021" xr:uid="{857FA774-7547-413F-B81B-854E9FE6CFB8}"/>
    <cellStyle name="Heading 4 14" xfId="2022" xr:uid="{7ED224A4-C8AB-42D6-ADD4-B16446B28748}"/>
    <cellStyle name="Heading 4 15" xfId="2023" xr:uid="{10FEC4B6-2043-4CAE-92AE-45CE2619A9AA}"/>
    <cellStyle name="Heading 4 16" xfId="2024" xr:uid="{1076CC4D-B23C-417B-B928-7550C7D7A59C}"/>
    <cellStyle name="Heading 4 17" xfId="2025" xr:uid="{7CD72F18-60E8-44E5-BCA9-C7E2C97FC437}"/>
    <cellStyle name="Heading 4 18" xfId="2026" xr:uid="{1503F3A9-D382-4416-B16F-C2C7AD35016F}"/>
    <cellStyle name="Heading 4 19" xfId="2027" xr:uid="{D12BE9A9-6BCC-47F6-A49F-90FA89F3C7F0}"/>
    <cellStyle name="Heading 4 2" xfId="2028" xr:uid="{27A780DF-E57F-4B51-8D28-5728DE1FA711}"/>
    <cellStyle name="Heading 4 2 2" xfId="2029" xr:uid="{96A58CE9-E5D3-4269-94EC-C37B949FD34A}"/>
    <cellStyle name="Heading 4 2 2 2" xfId="6208" xr:uid="{3090F125-ADA4-4A98-9957-7FCB3CA27598}"/>
    <cellStyle name="Heading 4 20" xfId="2030" xr:uid="{68142B53-BAFC-44AD-BD08-4FC5441897B7}"/>
    <cellStyle name="Heading 4 21" xfId="2031" xr:uid="{71742B98-BD8B-42C8-A1AD-CBD87D21BACD}"/>
    <cellStyle name="Heading 4 22" xfId="2032" xr:uid="{D4131ED4-F22C-4128-8D98-805A3C1683A4}"/>
    <cellStyle name="Heading 4 23" xfId="2033" xr:uid="{E750DE03-B954-49A4-B504-60539A1AB122}"/>
    <cellStyle name="Heading 4 24" xfId="2034" xr:uid="{77CFCA52-A650-4F47-BF28-122A3F936FEF}"/>
    <cellStyle name="Heading 4 25" xfId="2035" xr:uid="{59FD9730-80F8-453E-9D69-FA6EAB7275A1}"/>
    <cellStyle name="Heading 4 26" xfId="2036" xr:uid="{57DB3129-C71B-4149-9A7A-CC42653F8932}"/>
    <cellStyle name="Heading 4 26 2" xfId="7650" xr:uid="{759B2953-A211-4E63-B75E-6BDAB7F7CBC1}"/>
    <cellStyle name="Heading 4 3" xfId="2037" xr:uid="{D4B40A1F-6596-4D89-AF1A-EC14F7878DC5}"/>
    <cellStyle name="Heading 4 3 2" xfId="6209" xr:uid="{861E9F4B-40E9-4612-BD16-05EFF0BF3560}"/>
    <cellStyle name="Heading 4 3 3" xfId="3434" xr:uid="{CF8FB962-7A99-467B-931F-45157B433ED6}"/>
    <cellStyle name="Heading 4 4" xfId="2038" xr:uid="{551AD54A-22B8-4E95-97E4-350E12339831}"/>
    <cellStyle name="Heading 4 4 2" xfId="6211" xr:uid="{F43AA42A-053A-4A88-84BF-99CD5AD37E50}"/>
    <cellStyle name="Heading 4 4 3" xfId="6210" xr:uid="{03951EAE-3A93-4C73-837D-00F121AE864A}"/>
    <cellStyle name="Heading 4 5" xfId="2039" xr:uid="{7DBE4ACD-B3D6-4C12-8D27-AFE5D4879CF6}"/>
    <cellStyle name="Heading 4 5 2" xfId="6213" xr:uid="{1BCAAD48-8B20-43B3-953F-036FF44ACAF5}"/>
    <cellStyle name="Heading 4 5 3" xfId="6212" xr:uid="{EBE6A17E-34AE-41E4-AF15-1F4F9C72637D}"/>
    <cellStyle name="Heading 4 6" xfId="2040" xr:uid="{8F5D48CD-C0D7-4F3C-B44E-4309BA56A0AC}"/>
    <cellStyle name="Heading 4 7" xfId="2041" xr:uid="{4907A0F9-8E13-423E-B2A1-AE587285F078}"/>
    <cellStyle name="Heading 4 8" xfId="2042" xr:uid="{A55AB17B-8BCA-4C39-A6C0-C316C66A228C}"/>
    <cellStyle name="Heading 4 9" xfId="2043" xr:uid="{7D18FC55-8B84-45C7-82E2-01F650CA03FE}"/>
    <cellStyle name="Heading1" xfId="2044" xr:uid="{F0BE4431-1FD5-467B-B5A0-A07FD69E5389}"/>
    <cellStyle name="Heading1 2" xfId="6214" xr:uid="{C0FDC924-505D-4A50-BB9A-BC213A1D42A8}"/>
    <cellStyle name="Heading1 3" xfId="6215" xr:uid="{FB8CE746-BCB2-4A6C-8276-8DDF64D05B0C}"/>
    <cellStyle name="Heading1 4" xfId="6216" xr:uid="{073DB927-4241-4C1D-BAE3-09888154909F}"/>
    <cellStyle name="Heading1 5" xfId="6217" xr:uid="{AD6EE8A4-5A5C-47DA-813D-020A3AB5BA8E}"/>
    <cellStyle name="Heading1 6" xfId="6218" xr:uid="{A6D95821-FF69-4D33-9060-8F08749C7662}"/>
    <cellStyle name="Hidden" xfId="2045" xr:uid="{193DA176-26F7-4880-8610-9DA7AD953C0F}"/>
    <cellStyle name="Hyperlink" xfId="8210" builtinId="8"/>
    <cellStyle name="Hyperlink 2" xfId="2046" xr:uid="{13B46E26-48A8-4B47-9D32-480EA8DDF9F8}"/>
    <cellStyle name="Hyperlink 3" xfId="2047" xr:uid="{3837AF92-FE1A-4145-BF12-5AF0514C8DE6}"/>
    <cellStyle name="Hyperlink 4" xfId="8209" xr:uid="{554769D9-AEDE-794F-83F7-81AF284A928C}"/>
    <cellStyle name="Input [yellow]" xfId="2048" xr:uid="{B4591626-3E5C-43CF-87AA-3F197BB6932C}"/>
    <cellStyle name="Input 10" xfId="2049" xr:uid="{DAC5AB57-624A-408F-AED6-CD933ACC337B}"/>
    <cellStyle name="Input 10 2" xfId="2050" xr:uid="{01A09F9B-466B-4B20-882B-3235418FA865}"/>
    <cellStyle name="Input 10 2 2" xfId="2051" xr:uid="{28FC378C-974B-4E4D-8B64-FA8FEADB8B10}"/>
    <cellStyle name="Input 10 2 3" xfId="2052" xr:uid="{A8FC8370-AF3A-494E-BA7E-78F203CF2553}"/>
    <cellStyle name="Input 10 2 4" xfId="6219" xr:uid="{CBEE76CF-D429-4B1F-8B2B-D6AE8185CEBF}"/>
    <cellStyle name="Input 10 3" xfId="6220" xr:uid="{FEF4CBEB-816B-449B-99D2-F2066C87D555}"/>
    <cellStyle name="Input 10 4" xfId="6221" xr:uid="{9D6D5478-5712-4AE9-898A-71769C9384A8}"/>
    <cellStyle name="Input 10 5" xfId="6222" xr:uid="{E64780BD-8A6F-4222-8207-5D00DB66B0D4}"/>
    <cellStyle name="Input 10 6" xfId="6223" xr:uid="{1B4339D0-4EC8-4FF5-B988-9D2808B5CAB2}"/>
    <cellStyle name="Input 10 7" xfId="6224" xr:uid="{91D65690-D105-48FB-BA10-AC7D4ADD8C87}"/>
    <cellStyle name="Input 11" xfId="2053" xr:uid="{B8AA1121-50B0-4506-9368-4F70F5A3BC48}"/>
    <cellStyle name="Input 11 2" xfId="2054" xr:uid="{7BD79FC7-C9D3-44B6-8BD6-8F0836ED5A0C}"/>
    <cellStyle name="Input 11 2 2" xfId="2055" xr:uid="{FF805F8B-E0A0-4D1E-B8B5-56D535410CFF}"/>
    <cellStyle name="Input 11 2 3" xfId="2056" xr:uid="{CB9E2A20-802B-4387-B26B-6B2BA70632B7}"/>
    <cellStyle name="Input 11 2 4" xfId="6225" xr:uid="{441B68D7-94C2-46D7-9D76-6C0ECFFD82B6}"/>
    <cellStyle name="Input 11 3" xfId="6226" xr:uid="{19E58219-5DCD-4CEE-A900-E99C57DCE640}"/>
    <cellStyle name="Input 11 4" xfId="6227" xr:uid="{4ABD933E-8418-49B5-9FAC-64B06D0E8FBE}"/>
    <cellStyle name="Input 11 5" xfId="6228" xr:uid="{DAF6FED3-4412-4B12-885E-6B253DBA9908}"/>
    <cellStyle name="Input 11 6" xfId="6229" xr:uid="{BB03AC01-193E-4225-A7C4-1312E44103F1}"/>
    <cellStyle name="Input 11 7" xfId="6230" xr:uid="{4367567F-D601-44E4-BD90-32F745C95B6D}"/>
    <cellStyle name="Input 12" xfId="2057" xr:uid="{1F1699C3-C530-4B3F-B310-7E1458BEFFF5}"/>
    <cellStyle name="Input 12 2" xfId="2058" xr:uid="{CAEBF842-7BFB-4246-81AA-470F29F52E8C}"/>
    <cellStyle name="Input 12 2 2" xfId="2059" xr:uid="{DA54A017-425C-4905-B540-6676EBD9A87D}"/>
    <cellStyle name="Input 12 2 3" xfId="2060" xr:uid="{A3A15964-0DD0-442A-91EB-0F48DE598FB9}"/>
    <cellStyle name="Input 12 2 4" xfId="6231" xr:uid="{13F88CA8-488E-4030-97DC-C03F35B98639}"/>
    <cellStyle name="Input 12 3" xfId="6232" xr:uid="{A53D25F5-AB9E-4B52-8756-D6B8BA09E836}"/>
    <cellStyle name="Input 12 4" xfId="6233" xr:uid="{07743229-BE9C-4072-8453-C31D2D4A9D72}"/>
    <cellStyle name="Input 12 5" xfId="6234" xr:uid="{22535A69-6612-468C-8EE4-45D0146BC23B}"/>
    <cellStyle name="Input 12 6" xfId="6235" xr:uid="{4D376BAF-1473-4083-8090-296BBBFE042D}"/>
    <cellStyle name="Input 12 7" xfId="6236" xr:uid="{6C77A3F8-AFCE-48AA-8E6E-A9388EA08638}"/>
    <cellStyle name="Input 13" xfId="2061" xr:uid="{5F19D161-97DC-442C-B679-EBDE66378511}"/>
    <cellStyle name="Input 13 2" xfId="6237" xr:uid="{DE8F66AD-9F39-4154-801F-60D8BBB093F2}"/>
    <cellStyle name="Input 14" xfId="2062" xr:uid="{3F1A870D-23F7-4539-B64B-AB903B14A09E}"/>
    <cellStyle name="Input 14 2" xfId="6238" xr:uid="{BB93CA89-716A-4E5C-A7AA-098793638232}"/>
    <cellStyle name="Input 15" xfId="2063" xr:uid="{BC69926E-DD37-47FE-AE8F-0B6FB6B69C25}"/>
    <cellStyle name="Input 15 2" xfId="6239" xr:uid="{290530F7-5B60-477A-8DCC-C9826CCDD077}"/>
    <cellStyle name="Input 16" xfId="2064" xr:uid="{CBF15BA0-05D6-46C8-BCB5-9E6CD0601090}"/>
    <cellStyle name="Input 16 2" xfId="6240" xr:uid="{21391014-C130-483F-BC04-734EC1BA5D30}"/>
    <cellStyle name="Input 17" xfId="2065" xr:uid="{4C39AFD6-2437-4422-A3B8-3B5D7683B3A2}"/>
    <cellStyle name="Input 17 2" xfId="6241" xr:uid="{5D01C2D3-9BEE-4996-AB49-00C198CC4501}"/>
    <cellStyle name="Input 18" xfId="2066" xr:uid="{18D66962-7F11-40F5-AC78-FC8949EB6DAE}"/>
    <cellStyle name="Input 18 2" xfId="6242" xr:uid="{BC864A7B-ABFA-43E4-AEA6-0C75516843BA}"/>
    <cellStyle name="Input 19" xfId="2067" xr:uid="{72F14BE0-870A-4313-9D09-6237767EEFE1}"/>
    <cellStyle name="Input 19 2" xfId="6243" xr:uid="{475860B5-3B11-4239-9069-275BC648BBA1}"/>
    <cellStyle name="Input 2" xfId="2068" xr:uid="{6C575A9B-9306-4D9D-A2D1-D0C43459F9B0}"/>
    <cellStyle name="Input 2 2" xfId="2069" xr:uid="{1453FC4C-C136-4E51-A270-1B054E846860}"/>
    <cellStyle name="Input 2 2 2" xfId="2070" xr:uid="{F2A49DDF-711B-40EC-B1C8-1A995756E13F}"/>
    <cellStyle name="Input 2 2 2 2" xfId="2071" xr:uid="{8B9F975E-8CBC-443E-B789-F04788DFFBC4}"/>
    <cellStyle name="Input 2 2 2 3" xfId="2072" xr:uid="{F7D2F0BF-0739-4C30-B68D-4C3BEF6EE782}"/>
    <cellStyle name="Input 2 2 3" xfId="2073" xr:uid="{1D03F816-9E66-498E-AFD4-F2624293F4A1}"/>
    <cellStyle name="Input 2 2 4" xfId="2074" xr:uid="{D5CC7B5E-4259-4DDA-9FF1-3BC0DE05E18F}"/>
    <cellStyle name="Input 2 2 5" xfId="6244" xr:uid="{2D8BA6A2-7CC6-4A4B-B8F1-99A12C568D67}"/>
    <cellStyle name="Input 2 3" xfId="6245" xr:uid="{50D1C1C0-1FAA-4BCE-BAAE-FF70A30D8AC2}"/>
    <cellStyle name="Input 2 4" xfId="6246" xr:uid="{7DFA45E0-F25F-4E84-B21B-ED20C1F95F9F}"/>
    <cellStyle name="Input 2 5" xfId="6247" xr:uid="{FC8017F3-B4C2-4CA9-AC0A-2E2022ADD5E8}"/>
    <cellStyle name="Input 2 6" xfId="6248" xr:uid="{C06F2938-654B-4F5F-B1E0-601935C77580}"/>
    <cellStyle name="Input 2 7" xfId="6249" xr:uid="{4C5CD126-F4F9-4D7D-B7EC-7A58AE48B4A9}"/>
    <cellStyle name="Input 2 8" xfId="6250" xr:uid="{0402FAA9-A951-405E-A6E9-468ADE380CB6}"/>
    <cellStyle name="Input 2 9" xfId="3429" xr:uid="{0B8352B4-902D-437B-9287-82ACDF9C091C}"/>
    <cellStyle name="Input 20" xfId="2075" xr:uid="{91D55809-6992-4A6D-8A9A-CBC430185DE3}"/>
    <cellStyle name="Input 20 2" xfId="6251" xr:uid="{65F941F8-1ECA-4C3F-B2E9-BE71F3560BDB}"/>
    <cellStyle name="Input 21" xfId="2076" xr:uid="{46B5C27E-2E18-4862-99BC-3476AAD51E39}"/>
    <cellStyle name="Input 21 2" xfId="6252" xr:uid="{6F384BC0-289A-4522-96EC-981FD4F32CC5}"/>
    <cellStyle name="Input 22" xfId="2077" xr:uid="{C062DA52-3F10-44A3-B349-C4365A297BEE}"/>
    <cellStyle name="Input 23" xfId="2078" xr:uid="{67E6B874-3967-41FB-B943-6BF74BB42387}"/>
    <cellStyle name="Input 24" xfId="2079" xr:uid="{BD20BDCC-C81C-481C-9C6D-FD4ABE22D3B4}"/>
    <cellStyle name="Input 25" xfId="2080" xr:uid="{73BBA551-82F9-41D3-82FF-830036453F71}"/>
    <cellStyle name="Input 26" xfId="2081" xr:uid="{17BC8A3C-08A2-465A-A3B5-52876B403321}"/>
    <cellStyle name="Input 27" xfId="2082" xr:uid="{4B8B2BB7-6D24-4785-A0D5-33DE67759B0C}"/>
    <cellStyle name="Input 28" xfId="2083" xr:uid="{11849F5A-B968-4490-8A43-4E811F05F623}"/>
    <cellStyle name="Input 29" xfId="2084" xr:uid="{6B3716EF-615D-415A-A841-EAAEFEA9D4C3}"/>
    <cellStyle name="Input 3" xfId="2085" xr:uid="{09434D7F-FD91-49C3-B8E9-3669A74987CC}"/>
    <cellStyle name="Input 3 2" xfId="2086" xr:uid="{73C347B0-D327-49B4-8E5A-AA3F80407AB0}"/>
    <cellStyle name="Input 3 2 2" xfId="2087" xr:uid="{276F986B-6A79-484A-B3A3-2C4D48DF4A46}"/>
    <cellStyle name="Input 3 2 3" xfId="2088" xr:uid="{8011E146-5DDB-4BFB-9279-FE5ED549A5E2}"/>
    <cellStyle name="Input 3 2 4" xfId="6253" xr:uid="{BD8DB986-60F6-4985-9BF5-FECF119E518A}"/>
    <cellStyle name="Input 3 3" xfId="6254" xr:uid="{FF5BB594-9887-4A8A-89B2-71D66564DCCA}"/>
    <cellStyle name="Input 3 4" xfId="6255" xr:uid="{AA714488-68BA-4D37-A592-5277A73573B5}"/>
    <cellStyle name="Input 3 5" xfId="6256" xr:uid="{F1B14D3C-1BFB-49E7-B573-5CAFA4D6D7BD}"/>
    <cellStyle name="Input 3 6" xfId="6257" xr:uid="{03372640-C55D-490B-B0CA-F2DCE9CF9647}"/>
    <cellStyle name="Input 3 7" xfId="6258" xr:uid="{2DA6DB46-0A32-45FE-BA01-E250BCA02E38}"/>
    <cellStyle name="Input 3 8" xfId="3444" xr:uid="{D49ACC86-EB56-4C45-9A1C-63D379193ED5}"/>
    <cellStyle name="Input 3_Calc Data" xfId="6259" xr:uid="{CCB87D5D-D1E9-405D-84C6-95F70F65FE6B}"/>
    <cellStyle name="Input 30" xfId="2089" xr:uid="{FAB09AB0-E3F0-45A6-8DF4-B9F2A8375535}"/>
    <cellStyle name="Input 31" xfId="2090" xr:uid="{072BBDC4-74A2-4A9A-BF7A-8983209F361C}"/>
    <cellStyle name="Input 32" xfId="2091" xr:uid="{4EE99E87-5BFA-48DB-B628-3CD50F26EE99}"/>
    <cellStyle name="Input 33" xfId="2092" xr:uid="{1647AC77-9641-462D-ADF1-4926FE89E4A0}"/>
    <cellStyle name="Input 34" xfId="2093" xr:uid="{F27E075A-A673-496D-B236-17DE212CC153}"/>
    <cellStyle name="Input 35" xfId="2094" xr:uid="{E9545311-391A-4605-A637-050B908B0F52}"/>
    <cellStyle name="Input 36" xfId="2095" xr:uid="{8819550C-BD3A-4D0F-BEB3-14464E528A31}"/>
    <cellStyle name="Input 37" xfId="2096" xr:uid="{0557749C-C4C2-4CE1-AB0F-E2FA239E2B76}"/>
    <cellStyle name="Input 38" xfId="2097" xr:uid="{6CC582DC-809E-46C4-AFF2-06AAFDC26E03}"/>
    <cellStyle name="Input 4" xfId="2098" xr:uid="{3D712CF0-D117-4155-99A8-239555C3A46D}"/>
    <cellStyle name="Input 4 2" xfId="2099" xr:uid="{5D7A600A-1CCF-4B22-8A1E-012F7372939A}"/>
    <cellStyle name="Input 4 2 2" xfId="2100" xr:uid="{A7C5CBDC-9275-4650-9852-03ADDAE18306}"/>
    <cellStyle name="Input 4 2 3" xfId="2101" xr:uid="{11F68057-ACC6-4FE4-9096-DF782E817995}"/>
    <cellStyle name="Input 4 2 4" xfId="6261" xr:uid="{FCDF3786-C5EC-4F3C-91D6-690B4AAE7E39}"/>
    <cellStyle name="Input 4 3" xfId="6262" xr:uid="{22F3AEE3-2F0F-453A-BF4F-4FCE67137E9A}"/>
    <cellStyle name="Input 4 4" xfId="6263" xr:uid="{60383F7D-0F05-4D37-8E8C-DE815AA4E981}"/>
    <cellStyle name="Input 4 5" xfId="6264" xr:uid="{46CF6709-B4D9-4759-8276-6DB271E027CD}"/>
    <cellStyle name="Input 4 6" xfId="6265" xr:uid="{B88F85A3-266C-42A8-8361-11454F38B5EF}"/>
    <cellStyle name="Input 4 7" xfId="6266" xr:uid="{D0F932FE-F5EC-4483-A3D7-189EEF89AFCD}"/>
    <cellStyle name="Input 4 8" xfId="6260" xr:uid="{4F21002A-9CA0-4D8B-B5E2-5A20BC0CC06F}"/>
    <cellStyle name="Input 4_Calc Data" xfId="6267" xr:uid="{F42D0F4B-EF70-4806-B0DD-6E8CD6868980}"/>
    <cellStyle name="Input 5" xfId="2102" xr:uid="{801B6825-B392-41AC-9FD1-CEC2D7271A60}"/>
    <cellStyle name="Input 5 2" xfId="2103" xr:uid="{0E0E0489-5E88-4B2B-A919-4CAFAD12DF27}"/>
    <cellStyle name="Input 5 2 2" xfId="2104" xr:uid="{5F6019DD-1EAB-46B6-8DE5-7DFD24A1527C}"/>
    <cellStyle name="Input 5 2 3" xfId="2105" xr:uid="{49129E22-A60F-4232-9D8B-50231D6E2FF5}"/>
    <cellStyle name="Input 5 2 4" xfId="6269" xr:uid="{F18BC426-D6A1-4956-9DB3-FD928B2E6C6F}"/>
    <cellStyle name="Input 5 3" xfId="6270" xr:uid="{CD50B23A-FFF1-4A83-B4B8-11EC42F83DD2}"/>
    <cellStyle name="Input 5 4" xfId="6271" xr:uid="{0E1B5CF8-8B66-471F-AB5F-9C15123AC36C}"/>
    <cellStyle name="Input 5 5" xfId="6272" xr:uid="{61255B06-D463-4F16-B8B0-C278167C831D}"/>
    <cellStyle name="Input 5 6" xfId="6273" xr:uid="{8EE2F2F9-2538-4754-BCEF-21AEABCBA26F}"/>
    <cellStyle name="Input 5 7" xfId="6274" xr:uid="{1A7984A4-F31D-4B53-AE7D-E078F4F84727}"/>
    <cellStyle name="Input 5 8" xfId="6268" xr:uid="{11A98030-E33B-4DED-9ECF-3FDB4DC3E356}"/>
    <cellStyle name="Input 5_Calc Data" xfId="6275" xr:uid="{13A491FE-60C5-4DE6-A72F-A07176DE6205}"/>
    <cellStyle name="Input 6" xfId="2106" xr:uid="{38097156-D6AA-4C12-B393-CE358332C877}"/>
    <cellStyle name="Input 6 2" xfId="2107" xr:uid="{2355667B-F888-4B4E-9D00-02CEAC3082A3}"/>
    <cellStyle name="Input 6 2 2" xfId="2108" xr:uid="{8E849831-9E6F-40D5-BC4C-1450D7BD2B82}"/>
    <cellStyle name="Input 6 2 3" xfId="2109" xr:uid="{82C45D40-49BB-4EBB-B4A5-B3E202BAB023}"/>
    <cellStyle name="Input 6 2 4" xfId="6277" xr:uid="{7E66AF7C-0209-4389-8A08-DF2027BDE8EB}"/>
    <cellStyle name="Input 6 3" xfId="6278" xr:uid="{3667FD8D-0D77-4639-BA70-C97DBB425D9A}"/>
    <cellStyle name="Input 6 4" xfId="6279" xr:uid="{2AD6B671-AFBB-4189-B00E-FD4FDA9C79A6}"/>
    <cellStyle name="Input 6 5" xfId="6280" xr:uid="{5BD9EF47-0789-4B8D-8B84-EB0D531BC25B}"/>
    <cellStyle name="Input 6 6" xfId="6281" xr:uid="{1141B4F7-E73E-4742-95B9-9EE7BF76BF8C}"/>
    <cellStyle name="Input 6 7" xfId="6282" xr:uid="{5FC91D57-7524-4BD1-9CD9-22959ABC926D}"/>
    <cellStyle name="Input 6 8" xfId="6276" xr:uid="{E7BD9675-CD1A-4241-A34E-D076A60DB3FF}"/>
    <cellStyle name="Input 7" xfId="2110" xr:uid="{72C8981F-6A19-4FF4-9F7D-33503BD70C7E}"/>
    <cellStyle name="Input 7 2" xfId="2111" xr:uid="{FA6999B0-2675-4311-A95C-3D00373E0335}"/>
    <cellStyle name="Input 7 2 2" xfId="2112" xr:uid="{C918DE6C-0AEF-4E9B-8EFD-7FB9F6196582}"/>
    <cellStyle name="Input 7 2 3" xfId="2113" xr:uid="{C254A338-9522-46F5-87CB-575974A08313}"/>
    <cellStyle name="Input 7 2 4" xfId="6283" xr:uid="{572DF68C-A461-4780-9F23-64690D446DD9}"/>
    <cellStyle name="Input 7 3" xfId="6284" xr:uid="{91241972-67EA-4A28-BBFF-2AE8AD9629FB}"/>
    <cellStyle name="Input 7 4" xfId="6285" xr:uid="{5A2AA5B0-4283-45B5-BB0C-F2BAF5CA525F}"/>
    <cellStyle name="Input 7 5" xfId="6286" xr:uid="{746D143C-DE50-4E99-A3C1-072ACB08BA85}"/>
    <cellStyle name="Input 7 6" xfId="6287" xr:uid="{828DEB3C-CE49-489B-8B68-EACD8E31E401}"/>
    <cellStyle name="Input 7 7" xfId="6288" xr:uid="{F35CD483-8F0C-4297-9408-E65108C19F8D}"/>
    <cellStyle name="Input 8" xfId="2114" xr:uid="{9DBA8587-FD87-434C-ADA2-F413656D06E5}"/>
    <cellStyle name="Input 8 2" xfId="2115" xr:uid="{2D4F84A5-9704-4C3A-A478-70E885C24FF3}"/>
    <cellStyle name="Input 8 2 2" xfId="2116" xr:uid="{7C6BD7BD-3182-4BB9-B3E8-95361D5A7E30}"/>
    <cellStyle name="Input 8 2 3" xfId="2117" xr:uid="{27047B25-DF91-41DB-B0BE-76FE58E7387A}"/>
    <cellStyle name="Input 8 2 4" xfId="6289" xr:uid="{436347C4-CF3D-41C0-B9EA-1A1F39C1D192}"/>
    <cellStyle name="Input 8 3" xfId="6290" xr:uid="{D802286F-85A1-4575-B43D-83223C71DF2B}"/>
    <cellStyle name="Input 8 4" xfId="6291" xr:uid="{B0EBE2A9-1F2F-4C15-942A-0618A21EA848}"/>
    <cellStyle name="Input 8 5" xfId="6292" xr:uid="{DBE25715-7749-4D5E-9D75-6E7845F15FFA}"/>
    <cellStyle name="Input 8 6" xfId="6293" xr:uid="{489424D0-9C5B-440C-8F59-132244CC8CD5}"/>
    <cellStyle name="Input 8 7" xfId="6294" xr:uid="{3268EF3D-1693-40AB-B680-CA816479F2BD}"/>
    <cellStyle name="Input 9" xfId="2118" xr:uid="{F02E87C3-17C0-45AC-9404-C864F4A6D6C6}"/>
    <cellStyle name="Input 9 2" xfId="2119" xr:uid="{1474F425-1213-4849-8999-178D918AF83C}"/>
    <cellStyle name="Input 9 2 2" xfId="2120" xr:uid="{FEB825D0-0301-48CF-A8C0-7362551130B1}"/>
    <cellStyle name="Input 9 2 3" xfId="2121" xr:uid="{BBEE5035-1254-471E-B8B7-B5B8CF9B0178}"/>
    <cellStyle name="Input 9 2 4" xfId="6295" xr:uid="{0554AD5A-D1A6-496C-BFB0-0BD97BE80269}"/>
    <cellStyle name="Input 9 3" xfId="6296" xr:uid="{D0E0324C-4139-4965-8A04-CE9E10CB2498}"/>
    <cellStyle name="Input 9 4" xfId="6297" xr:uid="{37A3EFD7-A688-4887-A136-234F3765301F}"/>
    <cellStyle name="Input 9 5" xfId="6298" xr:uid="{622AF4D4-850E-4D44-A2DD-E076134ACC83}"/>
    <cellStyle name="Input 9 6" xfId="6299" xr:uid="{63EDA071-89E5-4664-9E55-734D092C171E}"/>
    <cellStyle name="Input 9 7" xfId="6300" xr:uid="{983CD608-A741-4ECB-A5DC-247E68CD86A3}"/>
    <cellStyle name="Input Cells" xfId="2122" xr:uid="{AFF7FA81-5318-412F-BE9C-20354D03AC33}"/>
    <cellStyle name="Input Cells 2" xfId="6301" xr:uid="{BA121B40-9E78-46D3-97A5-D4D1125B2112}"/>
    <cellStyle name="InputBlueFont" xfId="6302" xr:uid="{A3587B54-9C83-49C0-AA2E-23D430AA9E03}"/>
    <cellStyle name="Integer" xfId="6303" xr:uid="{81004CF6-946A-457A-B89F-EC8291440FF3}"/>
    <cellStyle name="Invisible" xfId="2123" xr:uid="{7C3B2762-1C44-45C5-8C6B-8405D2444EC5}"/>
    <cellStyle name="Invisible 2" xfId="2124" xr:uid="{F283E6FC-9796-4C6E-98BF-B747298CC10B}"/>
    <cellStyle name="Invisible 2 2" xfId="2125" xr:uid="{008C167B-3967-4D9A-8CF3-BDD354BA401E}"/>
    <cellStyle name="Item" xfId="2126" xr:uid="{16A9FECD-2902-421D-8C55-AA465E43649A}"/>
    <cellStyle name="Item Descriptions" xfId="3331" xr:uid="{22D79AE9-4DA3-4EA1-AF64-7E39772DCCFF}"/>
    <cellStyle name="Item Descriptions - Bold" xfId="3332" xr:uid="{20860270-AB5D-438B-8C4F-89B1106AD0DA}"/>
    <cellStyle name="Item Descriptions_6079BX" xfId="3333" xr:uid="{E3FB142F-97E4-417B-A6DF-FDAA5A9DFB43}"/>
    <cellStyle name="ItemTypeClass" xfId="2127" xr:uid="{FDC9E497-242F-471B-B84D-BBB54F4C395F}"/>
    <cellStyle name="Komórka połączona 2" xfId="3274" xr:uid="{9FE0E6C9-92A0-4C53-8509-B84EAE55CD5E}"/>
    <cellStyle name="Komórka zaznaczona 2" xfId="3275" xr:uid="{C6F20C40-7A2F-45C1-B503-EDC243A01CFE}"/>
    <cellStyle name="LEFT 7" xfId="6304" xr:uid="{71B597A1-3C35-4A92-8756-57BC57D88563}"/>
    <cellStyle name="LEFT 7 2" xfId="6305" xr:uid="{2C66231A-2651-4420-B446-FB901424B97B}"/>
    <cellStyle name="LEFT 7 SPACE2" xfId="6306" xr:uid="{F25ED8ED-03A4-4D46-9AA9-790A21F52B21}"/>
    <cellStyle name="LEFT 7 SPACE2 2" xfId="6307" xr:uid="{A9F33172-180F-419A-B20F-365803D71E5E}"/>
    <cellStyle name="LEFT 7 SPACEA" xfId="6308" xr:uid="{26D05695-B879-4675-AFED-A22540902F7C}"/>
    <cellStyle name="LEFT 7 SPACEA 2" xfId="6309" xr:uid="{47721164-97A3-4FC1-A09C-A4DB4BFE605C}"/>
    <cellStyle name="LEFT 7 SPACER" xfId="6310" xr:uid="{592F956D-2689-4BB8-A06B-A3A77197699C}"/>
    <cellStyle name="LEFT 7 SPACER 2" xfId="6311" xr:uid="{4005C27A-DB1F-421C-A6B2-64934A97F473}"/>
    <cellStyle name="LEFT 7A" xfId="6312" xr:uid="{14EFEC03-82D7-4DB6-AA46-CA4D1147E1F0}"/>
    <cellStyle name="LEFT 7A 2" xfId="6313" xr:uid="{2A0277F7-A9D4-4996-B29D-3D87CEC83427}"/>
    <cellStyle name="LEFT 9" xfId="6314" xr:uid="{7F5009B5-29DC-44C6-A33C-3A534EC3D2C2}"/>
    <cellStyle name="LEFT 9 2" xfId="6315" xr:uid="{28E1D805-87CD-4190-BBF2-D5083A7DD7F2}"/>
    <cellStyle name="LEFT 9 SPACER" xfId="6316" xr:uid="{34B72CDE-E5D4-42A7-BE4B-4485C184DE44}"/>
    <cellStyle name="LEFT 9 SPACER 2" xfId="6317" xr:uid="{428C9EA0-7FF3-483C-B776-D67DDF42AB64}"/>
    <cellStyle name="Line" xfId="3334" xr:uid="{705CCB56-AD21-4B80-B5F1-A54FDCDC2A6A}"/>
    <cellStyle name="Link Currency (0)" xfId="6318" xr:uid="{30C5EC36-4665-4FC9-A093-AD22C55FA8E0}"/>
    <cellStyle name="Link Currency (0) 2" xfId="6319" xr:uid="{65B444AF-E416-4847-82E0-439776251C50}"/>
    <cellStyle name="Link Currency (0) 3" xfId="6320" xr:uid="{C123443E-C4EF-4C5C-8939-B7292EF3708B}"/>
    <cellStyle name="Link Currency (0) 4" xfId="6321" xr:uid="{913FC18C-B2C0-42A1-B7F8-BDEED2C4AD45}"/>
    <cellStyle name="Link Currency (0) 5" xfId="6322" xr:uid="{0BBF8FDF-1913-498C-8896-3FBC6569A9CA}"/>
    <cellStyle name="Link Currency (0) 6" xfId="6323" xr:uid="{1BF2D6D4-E3FC-4358-9634-358C727C44CD}"/>
    <cellStyle name="Link Currency (0) 7" xfId="6324" xr:uid="{BDFA14C9-F5ED-4985-BAF8-4476448FD421}"/>
    <cellStyle name="Link Currency (0) 8" xfId="6325" xr:uid="{4593D5EE-39C2-453C-B2D8-0FF9C1BD17AE}"/>
    <cellStyle name="Link Currency (2)" xfId="6326" xr:uid="{AF813433-32D5-438B-AB71-6A6145428378}"/>
    <cellStyle name="Link Currency (2) 2" xfId="6327" xr:uid="{8F3F8511-E771-4D32-8FD5-217FED8C9BE3}"/>
    <cellStyle name="Link Currency (2) 3" xfId="6328" xr:uid="{262B2568-E6EC-453D-B014-C80DDF2A76DD}"/>
    <cellStyle name="Link Currency (2) 4" xfId="6329" xr:uid="{2A293706-0922-49D9-B40B-1B759B314FB8}"/>
    <cellStyle name="Link Currency (2) 5" xfId="6330" xr:uid="{B53B1719-AA5D-4679-B40A-94309500BF01}"/>
    <cellStyle name="Link Currency (2) 6" xfId="6331" xr:uid="{52B976EC-A51F-460C-BE2B-90FA48D32546}"/>
    <cellStyle name="Link Currency (2) 7" xfId="6332" xr:uid="{B17C1D87-8A39-42F7-B564-D720A857EB7F}"/>
    <cellStyle name="Link Currency (2) 8" xfId="6333" xr:uid="{629AFCA8-DEDF-4B47-98D4-6CF652744D90}"/>
    <cellStyle name="Link Units (0)" xfId="6334" xr:uid="{6409921A-8A80-4FAE-9DB1-87C98B445F1B}"/>
    <cellStyle name="Link Units (0) 2" xfId="6335" xr:uid="{69607FB7-6D68-4D3B-B802-7249BBBC45D4}"/>
    <cellStyle name="Link Units (0) 3" xfId="6336" xr:uid="{7FBEFDAE-CC9D-4E03-836A-65E9FDDB2A5A}"/>
    <cellStyle name="Link Units (0) 4" xfId="6337" xr:uid="{6A1AB85B-47E9-409E-BAF9-96D488C91FB5}"/>
    <cellStyle name="Link Units (0) 5" xfId="6338" xr:uid="{81FF3E36-2EE8-4717-BCA8-7D84871450B1}"/>
    <cellStyle name="Link Units (0) 6" xfId="6339" xr:uid="{8DD14855-5A36-4CCD-92D3-1E2ABD40F3B5}"/>
    <cellStyle name="Link Units (0) 7" xfId="6340" xr:uid="{C63B9AD0-4802-4847-8570-EEF5A2C812A8}"/>
    <cellStyle name="Link Units (0) 8" xfId="6341" xr:uid="{C90C3C64-BECD-44BA-9652-EC9818E23609}"/>
    <cellStyle name="Link Units (1)" xfId="6342" xr:uid="{F22A292D-4C35-4572-9108-3989F782A43D}"/>
    <cellStyle name="Link Units (1) 2" xfId="6343" xr:uid="{7CE18803-5373-4B2C-884D-140169E1BA13}"/>
    <cellStyle name="Link Units (1) 3" xfId="6344" xr:uid="{0778A353-6DE7-4EEF-BF1A-4D8391580BC4}"/>
    <cellStyle name="Link Units (1) 4" xfId="6345" xr:uid="{34C63C29-06CE-463C-BE11-BD54D59073D7}"/>
    <cellStyle name="Link Units (1) 5" xfId="6346" xr:uid="{1C30882C-22D9-4B1B-BB5C-EC7EDC9676E6}"/>
    <cellStyle name="Link Units (1) 6" xfId="6347" xr:uid="{36D94B37-3D03-4873-B65A-270959AC457E}"/>
    <cellStyle name="Link Units (1) 7" xfId="6348" xr:uid="{C67819F8-DBA2-4993-9D77-7BB0F7DC1802}"/>
    <cellStyle name="Link Units (1) 8" xfId="6349" xr:uid="{4BD2863A-7925-4C7E-BF90-D16A6E06AEA4}"/>
    <cellStyle name="Link Units (2)" xfId="6350" xr:uid="{FD48E6AE-1E56-4207-8BCA-64AEFF34CB16}"/>
    <cellStyle name="Link Units (2) 2" xfId="6351" xr:uid="{D1CD282D-613C-47D5-B946-E018564CBA2C}"/>
    <cellStyle name="Link Units (2) 3" xfId="6352" xr:uid="{C5FA1AE9-97D1-4892-8740-0523BABE3309}"/>
    <cellStyle name="Link Units (2) 4" xfId="6353" xr:uid="{82B84137-5B2F-4DE4-8A68-FE928D80D3B8}"/>
    <cellStyle name="Link Units (2) 5" xfId="6354" xr:uid="{20B2233D-BAAB-4E12-9249-C952AD4A7CD5}"/>
    <cellStyle name="Link Units (2) 6" xfId="6355" xr:uid="{55872B79-C30E-4B82-B617-9B9AC7329CDF}"/>
    <cellStyle name="Link Units (2) 7" xfId="6356" xr:uid="{19A2E68B-4C58-4442-9C02-AA6596F6C36D}"/>
    <cellStyle name="Link Units (2) 8" xfId="6357" xr:uid="{A557A9FB-8C7A-4BBF-9312-D15A8373CE39}"/>
    <cellStyle name="Linked Cell 10" xfId="2128" xr:uid="{53E90565-97E3-430F-AFD4-809D40D7545A}"/>
    <cellStyle name="Linked Cell 10 2" xfId="2129" xr:uid="{F75C3E75-58AA-4880-92DE-ED7B7DE9B314}"/>
    <cellStyle name="Linked Cell 10 2 2" xfId="6358" xr:uid="{A7A6CB82-0D63-4A01-BCAD-97FCF5D97167}"/>
    <cellStyle name="Linked Cell 10 2 3" xfId="7651" xr:uid="{8476D29B-3EC2-4648-8FCD-183317F9B14A}"/>
    <cellStyle name="Linked Cell 10 3" xfId="6359" xr:uid="{1C91F5FA-64BD-48CC-8F3F-FEA562CBA91F}"/>
    <cellStyle name="Linked Cell 10 4" xfId="6360" xr:uid="{6C45EDB8-811E-499E-934D-DD229F218774}"/>
    <cellStyle name="Linked Cell 10 5" xfId="6361" xr:uid="{163AD889-950C-4274-BA60-1C1315D0BD8B}"/>
    <cellStyle name="Linked Cell 10 6" xfId="6362" xr:uid="{B391D6AD-5DB5-4D1C-B670-31670305885A}"/>
    <cellStyle name="Linked Cell 10 7" xfId="6363" xr:uid="{AE816FA8-340B-4277-8DBD-68029952997E}"/>
    <cellStyle name="Linked Cell 11" xfId="2130" xr:uid="{C11EF970-507A-4043-82FA-EB1A49B374A5}"/>
    <cellStyle name="Linked Cell 11 2" xfId="2131" xr:uid="{AA7B299D-6670-4321-A753-98B9B2083E44}"/>
    <cellStyle name="Linked Cell 11 2 2" xfId="6364" xr:uid="{68F55598-EEF7-4187-B2E7-F5BD197A800E}"/>
    <cellStyle name="Linked Cell 11 2 3" xfId="7652" xr:uid="{C3657588-A64E-4D03-A70B-B2E0643198B9}"/>
    <cellStyle name="Linked Cell 11 3" xfId="6365" xr:uid="{3E6B7E08-AE6A-4697-AAEC-E8C6BF854B40}"/>
    <cellStyle name="Linked Cell 11 4" xfId="6366" xr:uid="{B0575773-AAB0-47A1-AD46-C825E766642E}"/>
    <cellStyle name="Linked Cell 11 5" xfId="6367" xr:uid="{44D6E997-0732-40D5-B503-932430A497EF}"/>
    <cellStyle name="Linked Cell 11 6" xfId="6368" xr:uid="{2B7A7C49-F475-4028-99A2-0A9AFB26AEB8}"/>
    <cellStyle name="Linked Cell 11 7" xfId="6369" xr:uid="{28889CEF-F1FC-4FD2-8ED5-BB0FA0ED57D0}"/>
    <cellStyle name="Linked Cell 12" xfId="2132" xr:uid="{42179D2C-9525-4110-9E79-B6B486817FDE}"/>
    <cellStyle name="Linked Cell 12 2" xfId="2133" xr:uid="{ABBA685D-52B8-459E-BD91-BD23BBC6283C}"/>
    <cellStyle name="Linked Cell 12 2 2" xfId="6370" xr:uid="{AB13FE1E-3331-41F2-8D97-550D0511354E}"/>
    <cellStyle name="Linked Cell 12 2 3" xfId="7653" xr:uid="{90FD37B3-FE8D-4EEC-81CC-B1D28D135B2F}"/>
    <cellStyle name="Linked Cell 12 3" xfId="6371" xr:uid="{EB5D522B-9D32-43D4-BDA7-3CFA54FE8043}"/>
    <cellStyle name="Linked Cell 12 4" xfId="6372" xr:uid="{A1B3CD6C-D107-4EF6-898F-FF5496D59896}"/>
    <cellStyle name="Linked Cell 12 5" xfId="6373" xr:uid="{7A882C38-F832-445C-93B8-FCDFF808D1F1}"/>
    <cellStyle name="Linked Cell 12 6" xfId="6374" xr:uid="{F1207EF5-1038-4217-B71A-989D601E8FDA}"/>
    <cellStyle name="Linked Cell 12 7" xfId="6375" xr:uid="{DE262FFF-F4FF-4857-93F7-479CA42FBC8C}"/>
    <cellStyle name="Linked Cell 13" xfId="2134" xr:uid="{7A6CC93F-FB2A-4691-9039-798DD7DF413D}"/>
    <cellStyle name="Linked Cell 13 2" xfId="6376" xr:uid="{94BF69C0-6D13-44CF-BC3A-1A3447E6C09E}"/>
    <cellStyle name="Linked Cell 14 2" xfId="6377" xr:uid="{36B91B1D-FDED-46EA-B724-04850DF84755}"/>
    <cellStyle name="Linked Cell 15 2" xfId="6378" xr:uid="{8127B83E-859B-4F29-A27F-54D92C466CD4}"/>
    <cellStyle name="Linked Cell 16 2" xfId="6379" xr:uid="{AE71DF93-68F9-4BA4-9BF6-3FCCA264B617}"/>
    <cellStyle name="Linked Cell 17 2" xfId="6380" xr:uid="{7352E46D-7362-4D7A-B38D-C20F7D654DFB}"/>
    <cellStyle name="Linked Cell 18 2" xfId="6381" xr:uid="{F9A88B8E-05C8-46DD-A1C4-8D508CCACA27}"/>
    <cellStyle name="Linked Cell 19 2" xfId="6382" xr:uid="{2B6C54A2-5A98-4FD4-AD2F-F6DF81D3EEC0}"/>
    <cellStyle name="Linked Cell 2" xfId="2135" xr:uid="{DDEAA648-2513-48F5-ACFD-44D68A2F2D19}"/>
    <cellStyle name="Linked Cell 2 2" xfId="2136" xr:uid="{22A6AAA2-8628-4734-BF3E-D8C6B5E98C06}"/>
    <cellStyle name="Linked Cell 2 2 2" xfId="2137" xr:uid="{7D5BEFC6-B626-4326-8B47-C0576DBFAD17}"/>
    <cellStyle name="Linked Cell 2 2 2 2" xfId="7654" xr:uid="{495D818A-1180-4C19-BBAB-89AFA0449C9F}"/>
    <cellStyle name="Linked Cell 2 2 3" xfId="6383" xr:uid="{8C4859A1-2D52-4DEE-B128-19242FF59DCE}"/>
    <cellStyle name="Linked Cell 2 3" xfId="2138" xr:uid="{A37C35E8-867F-4240-8928-ABBEEA5F7201}"/>
    <cellStyle name="Linked Cell 2 3 2" xfId="6384" xr:uid="{E2C2523D-F4D1-4F42-A2B6-D67B6C7B4C32}"/>
    <cellStyle name="Linked Cell 2 3 3" xfId="7655" xr:uid="{AF2C0D6B-942C-4B01-AA64-DE94B176BC6E}"/>
    <cellStyle name="Linked Cell 2 4" xfId="6385" xr:uid="{65FF5DAF-51D6-49A9-82AF-DBE1E1FC67E3}"/>
    <cellStyle name="Linked Cell 2 5" xfId="6386" xr:uid="{618AC075-F7E0-4F23-8AD6-ECF7C5BBD963}"/>
    <cellStyle name="Linked Cell 2 6" xfId="6387" xr:uid="{F19C81FC-D601-4D97-B1D5-0C665D5F2432}"/>
    <cellStyle name="Linked Cell 2 7" xfId="6388" xr:uid="{9EE321EB-9E3E-4739-8451-5B06B0CEC6F6}"/>
    <cellStyle name="Linked Cell 2 8" xfId="3423" xr:uid="{7145ABBF-33B3-413E-A2B4-A71264D7CF37}"/>
    <cellStyle name="Linked Cell 20 2" xfId="6389" xr:uid="{FB574426-0D2D-4E0C-B511-4EAA56ED25DD}"/>
    <cellStyle name="Linked Cell 21 2" xfId="6390" xr:uid="{9FC337E8-A6F7-436F-8E2F-6204B750AE2C}"/>
    <cellStyle name="Linked Cell 3" xfId="2139" xr:uid="{38010FA7-5451-409B-AC2A-6C91039F551B}"/>
    <cellStyle name="Linked Cell 3 2" xfId="2140" xr:uid="{3ECB95EA-0DE0-49F2-B486-8AC05C94185A}"/>
    <cellStyle name="Linked Cell 3 2 2" xfId="6391" xr:uid="{144E6D09-3203-48FF-AA60-320D8B74A8F7}"/>
    <cellStyle name="Linked Cell 3 2 3" xfId="7656" xr:uid="{6B86583F-4D81-4A28-8529-C80BCD929A6C}"/>
    <cellStyle name="Linked Cell 3 3" xfId="6392" xr:uid="{A04444C3-1361-40C8-A6C3-4B02811FA0C5}"/>
    <cellStyle name="Linked Cell 3 4" xfId="6393" xr:uid="{D80E1A6A-9BF8-4DA9-BD6D-00AF8831A92E}"/>
    <cellStyle name="Linked Cell 3 5" xfId="6394" xr:uid="{90DED240-45C9-4B38-BBF3-7D0EBADA07A9}"/>
    <cellStyle name="Linked Cell 3 6" xfId="6395" xr:uid="{FE83A8CB-5FE2-477A-88AF-0EF50BE791F9}"/>
    <cellStyle name="Linked Cell 3 7" xfId="6396" xr:uid="{AA037590-F98B-4172-9DA9-38DED063BB66}"/>
    <cellStyle name="Linked Cell 4" xfId="2141" xr:uid="{C4A963AC-025A-4754-8604-75534DB1154D}"/>
    <cellStyle name="Linked Cell 4 2" xfId="2142" xr:uid="{DBADE4FC-2042-45BF-8DA9-CADA06A52B3D}"/>
    <cellStyle name="Linked Cell 4 2 2" xfId="6398" xr:uid="{1E93492C-FE19-4842-BC14-F659D06102A5}"/>
    <cellStyle name="Linked Cell 4 2 3" xfId="7657" xr:uid="{14921E31-C6F7-483C-ABCE-21394F946C57}"/>
    <cellStyle name="Linked Cell 4 3" xfId="6399" xr:uid="{7553B538-D262-4A43-B07F-56B06B07EC6B}"/>
    <cellStyle name="Linked Cell 4 4" xfId="6400" xr:uid="{CE1082A9-D2DE-4F68-B5C9-12A956384488}"/>
    <cellStyle name="Linked Cell 4 5" xfId="6401" xr:uid="{8C48815D-EBB5-464B-9612-B8FF36F289AF}"/>
    <cellStyle name="Linked Cell 4 6" xfId="6402" xr:uid="{6443F5C2-A9AB-4F9A-8903-59A1250546A8}"/>
    <cellStyle name="Linked Cell 4 7" xfId="6403" xr:uid="{21D699F4-7E3D-4895-8654-67E91154877B}"/>
    <cellStyle name="Linked Cell 4 8" xfId="6397" xr:uid="{FB5F0805-0ABB-4C81-BF77-DCAF539F289B}"/>
    <cellStyle name="Linked Cell 5" xfId="2143" xr:uid="{0D8DB5C5-C6BC-4674-90A1-31D4DC7DAB9E}"/>
    <cellStyle name="Linked Cell 5 2" xfId="2144" xr:uid="{6B554D0D-09DA-4325-ABC7-425699923411}"/>
    <cellStyle name="Linked Cell 5 2 2" xfId="6405" xr:uid="{760FE8AB-70C1-4CB2-B766-95B9A16E52DB}"/>
    <cellStyle name="Linked Cell 5 2 3" xfId="7658" xr:uid="{57F0A9AF-438C-4C46-B3AF-DCF6B1F200B8}"/>
    <cellStyle name="Linked Cell 5 3" xfId="6406" xr:uid="{92314978-EFA3-4DBC-B2C1-D7A9B559D760}"/>
    <cellStyle name="Linked Cell 5 4" xfId="6407" xr:uid="{6198D06E-CF0A-4371-A4BD-EFD6767311E2}"/>
    <cellStyle name="Linked Cell 5 5" xfId="6408" xr:uid="{9F949224-5334-4155-BA34-4F623DDBD2FC}"/>
    <cellStyle name="Linked Cell 5 6" xfId="6409" xr:uid="{115FC8F1-3FF1-480A-80CE-19B8AF7327CF}"/>
    <cellStyle name="Linked Cell 5 7" xfId="6410" xr:uid="{17A3C37E-BC5B-41F1-93F0-96F69053EAB5}"/>
    <cellStyle name="Linked Cell 5 8" xfId="6404" xr:uid="{C6D62822-800F-4505-821C-3449CD47A297}"/>
    <cellStyle name="Linked Cell 6" xfId="2145" xr:uid="{8BAE355E-27EF-4937-838E-D44385AFB1E9}"/>
    <cellStyle name="Linked Cell 6 2" xfId="2146" xr:uid="{232009E2-3B59-4E5F-A4F8-80CB584069EA}"/>
    <cellStyle name="Linked Cell 6 2 2" xfId="6411" xr:uid="{5D102DAF-3B27-4030-BA24-4A53590308D2}"/>
    <cellStyle name="Linked Cell 6 2 3" xfId="7659" xr:uid="{2E9F942C-861D-40BF-95CA-C9876D4BA650}"/>
    <cellStyle name="Linked Cell 6 3" xfId="6412" xr:uid="{39D4DADD-9AD0-42AC-819D-298F9B6B833B}"/>
    <cellStyle name="Linked Cell 6 4" xfId="6413" xr:uid="{5FD234EA-6E4D-4C8D-B816-D431294B04F0}"/>
    <cellStyle name="Linked Cell 6 5" xfId="6414" xr:uid="{E0EB62EE-BBA9-45CD-8765-8CA64001A4FE}"/>
    <cellStyle name="Linked Cell 6 6" xfId="6415" xr:uid="{C61243EE-23F6-47FF-BE2A-A214357AC85B}"/>
    <cellStyle name="Linked Cell 6 7" xfId="6416" xr:uid="{042D76A8-4658-429E-B081-DA7CAC5AFA7D}"/>
    <cellStyle name="Linked Cell 7" xfId="2147" xr:uid="{6B58F8DC-D81B-48C1-9E64-DFB898659A8F}"/>
    <cellStyle name="Linked Cell 7 2" xfId="2148" xr:uid="{72563B99-5DC3-4228-A4EF-C9B3E3F630B8}"/>
    <cellStyle name="Linked Cell 7 2 2" xfId="6417" xr:uid="{A4D8B7B5-3580-4C5B-A302-AF0A84C262DE}"/>
    <cellStyle name="Linked Cell 7 2 3" xfId="7660" xr:uid="{A4347040-790A-414F-9418-5C1CD5749D3C}"/>
    <cellStyle name="Linked Cell 7 3" xfId="6418" xr:uid="{AD2332CC-36BC-47A3-9D31-30C23287666E}"/>
    <cellStyle name="Linked Cell 7 4" xfId="6419" xr:uid="{6DB55B66-83B6-4A71-B8EC-0B923FB2E326}"/>
    <cellStyle name="Linked Cell 7 5" xfId="6420" xr:uid="{D0D04B50-2350-4F07-BE9E-078945CAEBCC}"/>
    <cellStyle name="Linked Cell 7 6" xfId="6421" xr:uid="{8A07D559-22BD-481B-97E9-DFC3E9817A56}"/>
    <cellStyle name="Linked Cell 7 7" xfId="6422" xr:uid="{1162CB9A-06E0-4878-9F0A-3D5912706A8B}"/>
    <cellStyle name="Linked Cell 8" xfId="2149" xr:uid="{8834A9FF-0EB2-4EBA-BCFC-A1027F6FCCF4}"/>
    <cellStyle name="Linked Cell 8 2" xfId="2150" xr:uid="{F8E468D7-D2BC-46EE-A1F9-23E2A7C0D5A3}"/>
    <cellStyle name="Linked Cell 8 2 2" xfId="6423" xr:uid="{793D51B9-B88A-4FFB-BDA9-5D0D3D9DAE1E}"/>
    <cellStyle name="Linked Cell 8 2 3" xfId="7661" xr:uid="{9E1B5396-17AE-4408-B64D-C5CB4C370812}"/>
    <cellStyle name="Linked Cell 8 3" xfId="6424" xr:uid="{D00F6FB9-2EDC-46C9-B6A9-A2DD9E04D211}"/>
    <cellStyle name="Linked Cell 8 4" xfId="6425" xr:uid="{67E4E317-E4BF-45D8-B55D-1DEF6B185BCF}"/>
    <cellStyle name="Linked Cell 8 5" xfId="6426" xr:uid="{027E8127-427D-4EC8-A655-9FA195220F7B}"/>
    <cellStyle name="Linked Cell 8 6" xfId="6427" xr:uid="{4EA63132-3AA9-4FFC-80AE-16CFE479A744}"/>
    <cellStyle name="Linked Cell 8 7" xfId="6428" xr:uid="{CD2B5622-35DC-4D7C-A571-042C8056A668}"/>
    <cellStyle name="Linked Cell 9" xfId="2151" xr:uid="{4B8EE1B8-F021-4F6A-A9B9-8366B60A5262}"/>
    <cellStyle name="Linked Cell 9 2" xfId="2152" xr:uid="{ADC93342-2F1B-4586-A1F7-F660DDC3F442}"/>
    <cellStyle name="Linked Cell 9 2 2" xfId="6429" xr:uid="{251BCFF1-A264-45B1-BE11-10CCDE41B6FE}"/>
    <cellStyle name="Linked Cell 9 2 3" xfId="7662" xr:uid="{2BF58AA4-9ABA-4EF3-BFF2-DDFB5C5B0A12}"/>
    <cellStyle name="Linked Cell 9 3" xfId="6430" xr:uid="{B3CA8E9C-CE82-4E30-B305-64D4E249D756}"/>
    <cellStyle name="Linked Cell 9 4" xfId="6431" xr:uid="{5D75D323-2474-4BE8-BE8E-B99252AB7ED1}"/>
    <cellStyle name="Linked Cell 9 5" xfId="6432" xr:uid="{57821786-FA7E-462F-8314-747202DFDEFB}"/>
    <cellStyle name="Linked Cell 9 6" xfId="6433" xr:uid="{5DEC0912-4FE0-4AB3-AE79-ED8B18D36851}"/>
    <cellStyle name="Linked Cell 9 7" xfId="6434" xr:uid="{4E1D6288-9020-4D3E-8E54-413ACA8A0893}"/>
    <cellStyle name="Mainhead" xfId="2153" xr:uid="{F891225A-3D22-45E1-9ECB-7BA83414B842}"/>
    <cellStyle name="Milliers [0]_!!!GO" xfId="6435" xr:uid="{DFF21636-E794-470A-961D-BF5FC2ED1D37}"/>
    <cellStyle name="Milliers_!!!GO" xfId="6436" xr:uid="{77F9CC84-971C-4B0C-A41E-11B3C1057BD6}"/>
    <cellStyle name="MLComma0" xfId="3335" xr:uid="{1FBD3A50-9C88-4065-BC28-F50912B88844}"/>
    <cellStyle name="Model" xfId="2154" xr:uid="{95ED4A3D-236B-4C4B-B77D-BB78AA6AB3A7}"/>
    <cellStyle name="Model 2" xfId="6437" xr:uid="{45FF7E3A-1DF7-45F4-A49A-5884BE26AF01}"/>
    <cellStyle name="Models" xfId="2155" xr:uid="{8107E165-EB3C-4097-9D14-CBAACEF79407}"/>
    <cellStyle name="Monétaire [0]_!!!GO" xfId="6438" xr:uid="{8ECC3359-6067-449E-8DBE-E72E5FCC5974}"/>
    <cellStyle name="Monétaire_!!!GO" xfId="6439" xr:uid="{53E02236-1DC7-41A8-B919-70252D158C10}"/>
    <cellStyle name="Monitor" xfId="2156" xr:uid="{FCCD84D1-DD52-472D-94C0-85EF58496E19}"/>
    <cellStyle name="Monitor 2" xfId="2157" xr:uid="{DFF68F51-39BA-4E01-928B-DF7344D290FF}"/>
    <cellStyle name="MonthYears" xfId="6440" xr:uid="{F3D1BBAE-D5E5-4C83-B1F9-0C865048153D}"/>
    <cellStyle name="Multiple" xfId="2158" xr:uid="{3D61307A-C775-4769-8482-90806527BD37}"/>
    <cellStyle name="Multiple 2" xfId="6442" xr:uid="{8F5385CE-E8B8-4F98-B176-9443ED0C9EFF}"/>
    <cellStyle name="Multiple 3" xfId="6443" xr:uid="{A2D12239-0BD6-4F14-A7E6-A2933C7A0CEB}"/>
    <cellStyle name="Multiple 4" xfId="6444" xr:uid="{7826AA0A-AC24-4024-B0DD-2C662F7EA686}"/>
    <cellStyle name="Multiple 5" xfId="6445" xr:uid="{9C070890-6405-40E5-B439-17AAF2864507}"/>
    <cellStyle name="Multiple 6" xfId="6446" xr:uid="{3B613D23-5C5E-4553-9821-87091027D2D5}"/>
    <cellStyle name="Multiple 7" xfId="6447" xr:uid="{6B79B4A9-49C7-48B8-963B-6D5EEF537538}"/>
    <cellStyle name="Multiple 8" xfId="6448" xr:uid="{2C952CAF-F540-4E8B-BD6C-DEFF63B1D764}"/>
    <cellStyle name="Multiple 9" xfId="6441" xr:uid="{958B41E8-3F88-4FB0-9BB8-16691BA57DA3}"/>
    <cellStyle name="multiple0" xfId="3336" xr:uid="{3A9F206C-8B8A-45EE-BC21-42182CFC9AEC}"/>
    <cellStyle name="multiple1" xfId="3337" xr:uid="{4F9F5868-A85B-4676-8A65-452B7DEAC433}"/>
    <cellStyle name="Nagłówek 1 2" xfId="3264" xr:uid="{2B5E7C4D-F9C1-495E-9927-1A824FC6D5F2}"/>
    <cellStyle name="Nagłówek 2 2" xfId="3265" xr:uid="{5A52AF2F-EDDC-47EA-81FA-0C069FC06E53}"/>
    <cellStyle name="Nagłówek 3 2" xfId="3266" xr:uid="{7A0C6224-BB67-43F2-B1CB-2E1EA47302FC}"/>
    <cellStyle name="Nagłówek 4 2" xfId="3267" xr:uid="{5A96B089-9641-48B7-9C89-064F40FFBEC0}"/>
    <cellStyle name="Neutral 10" xfId="2159" xr:uid="{B081B14E-823C-42AD-86E4-94390BC5EB2B}"/>
    <cellStyle name="Neutral 10 2" xfId="2160" xr:uid="{21834FF5-01E8-4CF1-ABDE-35214EDF3DB4}"/>
    <cellStyle name="Neutral 10 2 2" xfId="6449" xr:uid="{D6EEC6E5-5A09-4DCD-AC38-ED2753B7CA0A}"/>
    <cellStyle name="Neutral 10 3" xfId="2161" xr:uid="{13AF7DC7-A2EC-4044-961F-BAE8050E8F64}"/>
    <cellStyle name="Neutral 10 3 2" xfId="6450" xr:uid="{EB7D4852-8AE8-4CAD-B9FC-D7A123A8ED17}"/>
    <cellStyle name="Neutral 10 4" xfId="6451" xr:uid="{8E1066BA-6547-430C-98AE-35A07EEBD1E3}"/>
    <cellStyle name="Neutral 10 5" xfId="6452" xr:uid="{C796EA6C-C466-4284-978E-707668998759}"/>
    <cellStyle name="Neutral 10 6" xfId="6453" xr:uid="{B790EADB-E407-4FAD-AFE1-DE0956FF0A73}"/>
    <cellStyle name="Neutral 10 7" xfId="6454" xr:uid="{B9F08CA6-1DFE-4EAD-941D-C923735BF94A}"/>
    <cellStyle name="Neutral 11" xfId="2162" xr:uid="{1C01F737-FAC8-48C2-B4C8-D1CEF9BA26C7}"/>
    <cellStyle name="Neutral 11 2" xfId="2163" xr:uid="{550B8480-48A1-4238-BB31-259FAC88894D}"/>
    <cellStyle name="Neutral 11 2 2" xfId="6455" xr:uid="{E9A0E84A-706C-43CD-9693-1563E1AFA286}"/>
    <cellStyle name="Neutral 11 3" xfId="2164" xr:uid="{10F3525B-C8B5-494D-ABEF-BFC4F1E32183}"/>
    <cellStyle name="Neutral 11 3 2" xfId="6456" xr:uid="{9AA905A9-14B6-479B-A967-01730DE273F0}"/>
    <cellStyle name="Neutral 11 4" xfId="6457" xr:uid="{5EF4D26F-57CC-4A64-A334-21D52A6B1143}"/>
    <cellStyle name="Neutral 11 5" xfId="6458" xr:uid="{710F5545-616B-4A5B-B687-7951D041B192}"/>
    <cellStyle name="Neutral 11 6" xfId="6459" xr:uid="{D9406875-6025-4C9F-9DFD-17B3E18CD75C}"/>
    <cellStyle name="Neutral 11 7" xfId="6460" xr:uid="{41A53A65-6AF9-4B11-8B57-438AEDA9641F}"/>
    <cellStyle name="Neutral 12" xfId="2165" xr:uid="{80C8A928-E083-4AD2-9715-C5004A701380}"/>
    <cellStyle name="Neutral 12 2" xfId="2166" xr:uid="{837ED39F-D5CD-4631-B14D-B65429D8732F}"/>
    <cellStyle name="Neutral 12 2 2" xfId="6461" xr:uid="{D318514A-944E-4008-BEA1-81ADE73FFF4E}"/>
    <cellStyle name="Neutral 12 3" xfId="2167" xr:uid="{C2F3D23E-1815-41AB-8602-3F7312A53EA9}"/>
    <cellStyle name="Neutral 12 3 2" xfId="6462" xr:uid="{ACD6DC20-3B94-4717-9F45-DDE21F86456D}"/>
    <cellStyle name="Neutral 12 4" xfId="6463" xr:uid="{DAD939B5-7964-4481-B80A-C46680D2870B}"/>
    <cellStyle name="Neutral 12 5" xfId="6464" xr:uid="{C10190BB-C6CC-4181-A7A3-7C07DFAFD620}"/>
    <cellStyle name="Neutral 12 6" xfId="6465" xr:uid="{65A57145-EB7C-42F4-82BA-8A39893FEE67}"/>
    <cellStyle name="Neutral 12 7" xfId="6466" xr:uid="{C98E3CAE-3D58-43A6-9626-74BBB4CF7DEB}"/>
    <cellStyle name="Neutral 13" xfId="2168" xr:uid="{F50E913D-FA16-4F4A-95F4-443360A443C4}"/>
    <cellStyle name="Neutral 13 2" xfId="6467" xr:uid="{E26D6E5B-7D6C-42FE-8442-193FB869A845}"/>
    <cellStyle name="Neutral 14" xfId="2169" xr:uid="{8A1FDD99-4A68-4813-AF4C-8C217BCC8DC0}"/>
    <cellStyle name="Neutral 14 2" xfId="6468" xr:uid="{3046F4D6-607E-430F-BEC6-AF772364AF88}"/>
    <cellStyle name="Neutral 15 2" xfId="6469" xr:uid="{DD7F9C69-98C4-44B0-9FCE-CC8CD8167144}"/>
    <cellStyle name="Neutral 16 2" xfId="6470" xr:uid="{A10A7843-0544-4AA4-BB04-01F5925B7A48}"/>
    <cellStyle name="Neutral 17 2" xfId="6471" xr:uid="{E3627515-F37E-42C4-A5A6-FFBD9340790D}"/>
    <cellStyle name="Neutral 18 2" xfId="6472" xr:uid="{FD1D6309-7DD0-4D09-AF55-484337B2EA14}"/>
    <cellStyle name="Neutral 19 2" xfId="6473" xr:uid="{117C663E-D06E-467E-ADB4-6D4EEE66D76C}"/>
    <cellStyle name="Neutral 2" xfId="2170" xr:uid="{67B99E31-7A85-48F5-AE66-292836522C03}"/>
    <cellStyle name="Neutral 2 2" xfId="2171" xr:uid="{0B8C91CE-25D2-4A27-9386-E0EBDF002215}"/>
    <cellStyle name="Neutral 2 2 2" xfId="2172" xr:uid="{77EB2E6E-537D-42DF-9479-7E52EB6D4A8E}"/>
    <cellStyle name="Neutral 2 2 3" xfId="2173" xr:uid="{634660B5-44A0-4534-AEB6-5AF4CFDFCB78}"/>
    <cellStyle name="Neutral 2 2 4" xfId="6474" xr:uid="{365812B9-58A2-4884-945F-ADFCD8951D2C}"/>
    <cellStyle name="Neutral 2 3" xfId="2174" xr:uid="{1C1834E9-46F0-411E-981F-58E3465590AA}"/>
    <cellStyle name="Neutral 2 3 2" xfId="6475" xr:uid="{DC77F312-032D-4A51-8F29-0C58A6BA406E}"/>
    <cellStyle name="Neutral 2 4" xfId="2175" xr:uid="{C6893CBC-7425-4945-95C3-497245885A32}"/>
    <cellStyle name="Neutral 2 4 2" xfId="6476" xr:uid="{B661232E-4485-4DAD-A681-6B99FBFE109E}"/>
    <cellStyle name="Neutral 2 5" xfId="6477" xr:uid="{F8DE9017-F8B3-4225-A996-ACFE4AC1707E}"/>
    <cellStyle name="Neutral 2 6" xfId="6478" xr:uid="{441ED1F7-2C37-4CE7-A263-3E74847895CD}"/>
    <cellStyle name="Neutral 2 7" xfId="6479" xr:uid="{4E58F275-1990-4F13-ADB1-BCFD7C5C7CD8}"/>
    <cellStyle name="Neutral 2 8" xfId="3431" xr:uid="{1762DF7B-8A37-4612-BE5D-CE4A126C77E3}"/>
    <cellStyle name="Neutral 20 2" xfId="6480" xr:uid="{EB0ADDC8-E9F0-4FC9-A8CC-1222D63F2B78}"/>
    <cellStyle name="Neutral 21 2" xfId="6481" xr:uid="{D4D9EE56-8CE8-4FD7-BD25-871E7B5CAC8F}"/>
    <cellStyle name="Neutral 3" xfId="2176" xr:uid="{CD5352D3-2AA2-4C55-A18E-87EA2E9ADC4C}"/>
    <cellStyle name="Neutral 3 2" xfId="2177" xr:uid="{6C328C96-4D79-4824-93A7-4C0C5E680F6E}"/>
    <cellStyle name="Neutral 3 2 2" xfId="6482" xr:uid="{A45828BD-4F86-4C08-88A6-632FA2162B0C}"/>
    <cellStyle name="Neutral 3 3" xfId="2178" xr:uid="{9E43EA04-7835-4DEF-A39C-819FAA529D4C}"/>
    <cellStyle name="Neutral 3 3 2" xfId="6483" xr:uid="{9B0BB01C-BA94-47AF-8688-F1E75870A77C}"/>
    <cellStyle name="Neutral 3 4" xfId="6484" xr:uid="{ECB6E549-403F-410A-BFF0-F76E9F4C3495}"/>
    <cellStyle name="Neutral 3 5" xfId="6485" xr:uid="{3329B907-9C4B-4B76-B6B3-21ADA29507DF}"/>
    <cellStyle name="Neutral 3 6" xfId="6486" xr:uid="{8180F820-43AE-427D-BCD1-E430B32B129A}"/>
    <cellStyle name="Neutral 3 7" xfId="6487" xr:uid="{DCA2B6B6-FCE9-4771-AFDB-39BB86EA7A2A}"/>
    <cellStyle name="Neutral 3 8" xfId="3399" xr:uid="{D7E571D0-5064-4210-9D2D-4C5D8289452C}"/>
    <cellStyle name="Neutral 4" xfId="2179" xr:uid="{700156E5-D9D2-448E-9D8E-F117161726F4}"/>
    <cellStyle name="Neutral 4 2" xfId="2180" xr:uid="{69DA3E12-E3C6-40E9-AB2E-93B7121571E2}"/>
    <cellStyle name="Neutral 4 2 2" xfId="6489" xr:uid="{418BBCED-EBA8-4BCF-8686-2B10B8C55FCB}"/>
    <cellStyle name="Neutral 4 3" xfId="2181" xr:uid="{A1F29652-90B3-44AD-9B5C-CF62096E1C4D}"/>
    <cellStyle name="Neutral 4 3 2" xfId="6490" xr:uid="{11CA5857-A5A2-4792-9D0D-7B8F45C72498}"/>
    <cellStyle name="Neutral 4 4" xfId="6491" xr:uid="{B131E128-8C83-4B31-B450-2D90A353E282}"/>
    <cellStyle name="Neutral 4 5" xfId="6492" xr:uid="{CD41F61B-5002-4BB2-8A95-17D76A8440E4}"/>
    <cellStyle name="Neutral 4 6" xfId="6493" xr:uid="{F1B30C15-51AE-4877-BBEE-300FE2023840}"/>
    <cellStyle name="Neutral 4 7" xfId="6494" xr:uid="{33F37115-D863-4B3C-8547-E5ED2D03C8C6}"/>
    <cellStyle name="Neutral 4 8" xfId="6488" xr:uid="{0762938B-397E-4F2F-B35F-5613FA1007F2}"/>
    <cellStyle name="Neutral 5" xfId="2182" xr:uid="{B63FAB5C-5487-497B-A4E6-E1D80A69619D}"/>
    <cellStyle name="Neutral 5 2" xfId="2183" xr:uid="{C4309D73-1BE9-48A4-AEE6-3E770D75E20B}"/>
    <cellStyle name="Neutral 5 2 2" xfId="6496" xr:uid="{3FACBB85-6168-405E-84E0-055B514D60F0}"/>
    <cellStyle name="Neutral 5 3" xfId="2184" xr:uid="{E5C36A55-50A5-47FA-B553-5AF5FE3FD813}"/>
    <cellStyle name="Neutral 5 3 2" xfId="6497" xr:uid="{E6C769A9-9201-42C6-8262-01AECDDEC18F}"/>
    <cellStyle name="Neutral 5 4" xfId="6498" xr:uid="{75FA14BA-C374-4E1B-B093-7E1224181EFE}"/>
    <cellStyle name="Neutral 5 5" xfId="6499" xr:uid="{6FD07894-F835-4C68-A569-7D62FC60344C}"/>
    <cellStyle name="Neutral 5 6" xfId="6500" xr:uid="{E9E2DF0F-DE0E-4D10-B0F6-FA53012A4A57}"/>
    <cellStyle name="Neutral 5 7" xfId="6501" xr:uid="{C3018365-9880-405D-A907-C6ABDDCAEB62}"/>
    <cellStyle name="Neutral 5 8" xfId="6495" xr:uid="{691ECDFC-925A-4CA6-A3D2-933FDCC15D23}"/>
    <cellStyle name="Neutral 6" xfId="2185" xr:uid="{B9C330D4-B454-43C3-9A07-D7541FC67C43}"/>
    <cellStyle name="Neutral 6 2" xfId="2186" xr:uid="{8AB132F8-632E-470E-96FF-EF16B5D3014D}"/>
    <cellStyle name="Neutral 6 2 2" xfId="6502" xr:uid="{69CED3F9-E109-423C-B1F6-DFBDF638D616}"/>
    <cellStyle name="Neutral 6 3" xfId="2187" xr:uid="{465C66ED-32BD-4F2D-A9BC-CDFC535AB14D}"/>
    <cellStyle name="Neutral 6 3 2" xfId="6503" xr:uid="{2021BFF6-3C73-4BF0-BF97-F95A8E2CD01A}"/>
    <cellStyle name="Neutral 6 4" xfId="6504" xr:uid="{C6A1F465-A074-4FEE-AB2F-F1ABBBFB7DEA}"/>
    <cellStyle name="Neutral 6 5" xfId="6505" xr:uid="{DF17A170-5441-4AF3-AD87-C382301242DC}"/>
    <cellStyle name="Neutral 6 6" xfId="6506" xr:uid="{A9028103-A9E6-4B29-91F4-087332DC0447}"/>
    <cellStyle name="Neutral 6 7" xfId="6507" xr:uid="{B38099DC-6A8E-4A15-B832-26DEAB19B0A4}"/>
    <cellStyle name="Neutral 7" xfId="2188" xr:uid="{D44F06CA-034C-4C9A-9AE1-2641F235A542}"/>
    <cellStyle name="Neutral 7 2" xfId="2189" xr:uid="{CC82CFCF-7A18-409D-B030-ADB193385890}"/>
    <cellStyle name="Neutral 7 2 2" xfId="6508" xr:uid="{22FE4E33-42F8-485A-A71D-D9C1CF3BCDD1}"/>
    <cellStyle name="Neutral 7 3" xfId="2190" xr:uid="{6B44ADCC-48B4-4409-8E89-3AFA842A79D9}"/>
    <cellStyle name="Neutral 7 3 2" xfId="6509" xr:uid="{D3E26972-62AE-40A5-9655-30CA0725B0CE}"/>
    <cellStyle name="Neutral 7 4" xfId="6510" xr:uid="{A442DE56-4F3D-47FE-9C77-D6B45581905B}"/>
    <cellStyle name="Neutral 7 5" xfId="6511" xr:uid="{FFD42775-89F4-4BCE-839D-C4CF88F1F4DE}"/>
    <cellStyle name="Neutral 7 6" xfId="6512" xr:uid="{0EF4BDA5-4B14-45B5-85BA-6C6F4BE2E6EC}"/>
    <cellStyle name="Neutral 7 7" xfId="6513" xr:uid="{1E9ECEC5-5C2B-49C4-A6EC-196B2BFB24BA}"/>
    <cellStyle name="Neutral 8" xfId="2191" xr:uid="{229ED28A-94BA-4DEA-A2C1-9E29CD1F1974}"/>
    <cellStyle name="Neutral 8 2" xfId="2192" xr:uid="{AE3DC95B-905D-4B24-BAD8-8DE8E4C1B691}"/>
    <cellStyle name="Neutral 8 2 2" xfId="6514" xr:uid="{039DCB2E-1BB0-4303-8624-2DD472E820F8}"/>
    <cellStyle name="Neutral 8 3" xfId="2193" xr:uid="{10E7DC17-922F-4D23-B47A-DCCDA6D9F49F}"/>
    <cellStyle name="Neutral 8 3 2" xfId="6515" xr:uid="{6DECD4DD-DF62-42C1-8A2B-BEBDDDDBCEC9}"/>
    <cellStyle name="Neutral 8 4" xfId="6516" xr:uid="{3A84C7B2-7400-4660-A604-97F79F6DE19C}"/>
    <cellStyle name="Neutral 8 5" xfId="6517" xr:uid="{DF9B1715-4F3B-440E-8867-4DADF449E00D}"/>
    <cellStyle name="Neutral 8 6" xfId="6518" xr:uid="{CA792970-16D8-4E71-A86F-30BFCDDE2503}"/>
    <cellStyle name="Neutral 8 7" xfId="6519" xr:uid="{41F6AE36-F64F-43C5-BB82-FC341CF5F5A3}"/>
    <cellStyle name="Neutral 9" xfId="2194" xr:uid="{8FAA760F-36F8-4AFB-A572-D3584404A71D}"/>
    <cellStyle name="Neutral 9 2" xfId="2195" xr:uid="{5280745B-5913-474D-8FD4-A8C7FE005B2C}"/>
    <cellStyle name="Neutral 9 2 2" xfId="6520" xr:uid="{FB0BA986-7643-4970-BA94-708E3319BA16}"/>
    <cellStyle name="Neutral 9 3" xfId="2196" xr:uid="{5F6958FA-1A8C-45F4-ADF2-A1A48E62F5D3}"/>
    <cellStyle name="Neutral 9 3 2" xfId="6521" xr:uid="{5CDC7FC0-5BE4-4C3A-AEA8-172388D7C546}"/>
    <cellStyle name="Neutral 9 4" xfId="6522" xr:uid="{4AF51C28-6CE4-4E99-AB6E-B47349FBD721}"/>
    <cellStyle name="Neutral 9 5" xfId="6523" xr:uid="{D45ED6C7-270A-402C-BCAE-906CFA2E1ED9}"/>
    <cellStyle name="Neutral 9 6" xfId="6524" xr:uid="{27807ACE-FCD3-4D3A-B9D4-550EC2BEEED7}"/>
    <cellStyle name="Neutral 9 7" xfId="6525" xr:uid="{D670F84B-6BCD-4BF7-A1A9-2B0ABC7637EF}"/>
    <cellStyle name="Neutralny 2" xfId="3270" xr:uid="{13F89975-CFD7-4ABC-88E7-3294F4D612B6}"/>
    <cellStyle name="NewColumnHeaderNormal" xfId="2197" xr:uid="{3580C547-CE0C-4BC5-B756-317534D17512}"/>
    <cellStyle name="NewColumnHeaderNormal 2" xfId="2198" xr:uid="{90EDE7AB-4871-47E7-B2E6-408A304096C7}"/>
    <cellStyle name="NewSectionHeaderNormal" xfId="2199" xr:uid="{AD6A015D-1577-4356-84D8-C246FB7B9E63}"/>
    <cellStyle name="NewSectionHeaderNormal 2" xfId="2200" xr:uid="{6550B908-CED7-4652-9BD9-515F2D16FEF8}"/>
    <cellStyle name="NewTitleNormal" xfId="2201" xr:uid="{528C9CB1-F284-4D1E-91C9-D278C60C395E}"/>
    <cellStyle name="NewTitleNormal 2" xfId="2202" xr:uid="{0A3B03B3-26E5-4E90-8BB8-877F1C305360}"/>
    <cellStyle name="no dec" xfId="6526" xr:uid="{C90C83A7-2CB1-4939-A567-C42532069417}"/>
    <cellStyle name="no dec 2" xfId="6527" xr:uid="{BB5ACDCE-B763-49C4-9FC9-1B96C47A6E0B}"/>
    <cellStyle name="Normal" xfId="0" builtinId="0"/>
    <cellStyle name="Normal - Style1" xfId="2203" xr:uid="{C542AF1D-4271-4C95-971C-D506B00F2C57}"/>
    <cellStyle name="Normal 10" xfId="2204" xr:uid="{85EA7A72-7152-4B4F-9B15-C89BFBA7DFB6}"/>
    <cellStyle name="Normal 10 2" xfId="6528" xr:uid="{B79FD039-F5BC-40C8-A8E6-59507710DE12}"/>
    <cellStyle name="Normal 10 3" xfId="6529" xr:uid="{45DAE5A7-0CAB-4D6B-A8DB-6EB7E85B581C}"/>
    <cellStyle name="Normal 10 4" xfId="6530" xr:uid="{7C7573F0-DEDC-4297-A2C6-510D75756FF4}"/>
    <cellStyle name="Normal 10 5" xfId="6531" xr:uid="{98E765F9-D8E2-4A23-8E9C-9924C6338923}"/>
    <cellStyle name="Normal 10 6" xfId="6532" xr:uid="{0AE23783-76E0-4902-B15F-733A1B9770AD}"/>
    <cellStyle name="Normal 10 7" xfId="6533" xr:uid="{EF9C0515-90AF-4CD1-8ECC-935AD239A1A6}"/>
    <cellStyle name="Normal 11" xfId="2205" xr:uid="{75A8379A-C1D0-4AA3-BD05-5ECED24CF0D5}"/>
    <cellStyle name="Normal 11 2" xfId="6534" xr:uid="{88F70472-3312-4B82-B5AE-F17602082F05}"/>
    <cellStyle name="Normal 11 3" xfId="6535" xr:uid="{EBB9C692-7D56-4396-ACB8-A7B29DFD7E85}"/>
    <cellStyle name="Normal 11 4" xfId="6536" xr:uid="{033DB3A2-F857-4C60-8FFF-ECEF45A41742}"/>
    <cellStyle name="Normal 11 5" xfId="6537" xr:uid="{757167D7-441F-4915-B484-0AD9F0CAC1E0}"/>
    <cellStyle name="Normal 11 6" xfId="6538" xr:uid="{4331896E-BA0A-4F23-972C-FA76193B36C8}"/>
    <cellStyle name="Normal 12" xfId="2206" xr:uid="{B9C9E7BE-1094-4296-A5B9-017A4D2E3510}"/>
    <cellStyle name="Normal 12 2" xfId="6539" xr:uid="{FA446D9B-0593-40B8-8796-41074CACCF73}"/>
    <cellStyle name="Normal 12 3" xfId="6540" xr:uid="{6AF65E7D-987F-4FCC-B8E6-EFB56141E71B}"/>
    <cellStyle name="Normal 12 4" xfId="6541" xr:uid="{911BD478-D220-418B-ACED-F693E4E78F76}"/>
    <cellStyle name="Normal 12 5" xfId="6542" xr:uid="{6F632061-65FA-4AE7-8F7F-7859EDF2837D}"/>
    <cellStyle name="Normal 12 6" xfId="6543" xr:uid="{148BD638-0741-4ECF-A471-5B3D2AA72468}"/>
    <cellStyle name="Normal 13" xfId="2207" xr:uid="{048592EA-DE76-46F9-A7C1-799F9C2AFDED}"/>
    <cellStyle name="Normal 13 2" xfId="6544" xr:uid="{A4132CAC-1F46-4995-8FC9-C5C2A62B50ED}"/>
    <cellStyle name="Normal 13 3" xfId="6545" xr:uid="{C3A5B7B8-4D23-456D-B703-876657924E40}"/>
    <cellStyle name="Normal 13 4" xfId="6546" xr:uid="{F23FF05F-6D99-48DF-8C70-C6AAAB404C9A}"/>
    <cellStyle name="Normal 13 5" xfId="6547" xr:uid="{C47F7200-CF38-4E6B-8391-7D4C56A58578}"/>
    <cellStyle name="Normal 13 6" xfId="6548" xr:uid="{7667917A-996B-4236-98CB-37F5C0C75820}"/>
    <cellStyle name="Normal 13_Calc Data" xfId="6549" xr:uid="{0B4A5E4A-57AC-4ED5-8EE3-6E67477CA82E}"/>
    <cellStyle name="Normal 14" xfId="2208" xr:uid="{B1718633-9224-409D-93F6-706482E1CBFE}"/>
    <cellStyle name="Normal 14 2" xfId="6550" xr:uid="{67DA518F-96A2-4E05-B19A-94E6A3F08E85}"/>
    <cellStyle name="Normal 14 3" xfId="6551" xr:uid="{628821DC-0D6F-4E47-B78A-E32C6B3B498F}"/>
    <cellStyle name="Normal 14 4" xfId="6552" xr:uid="{6634F726-D615-463D-8BB7-60708CFDB57B}"/>
    <cellStyle name="Normal 14 5" xfId="6553" xr:uid="{EAA9C140-E7A3-4763-A4A8-3B2BC3953ED3}"/>
    <cellStyle name="Normal 14 6" xfId="6554" xr:uid="{1F4E3740-326B-44B3-ADA3-5CDDDFDEA458}"/>
    <cellStyle name="Normal 15" xfId="2209" xr:uid="{1C5D628C-37A6-415A-A422-5232D901E92F}"/>
    <cellStyle name="Normal 15 2" xfId="6555" xr:uid="{4B55635D-E9F1-4696-A54D-48F3F7DABF1E}"/>
    <cellStyle name="Normal 15 3" xfId="6556" xr:uid="{10D0B5E1-9CCD-4A83-AF3B-3867E26A1C79}"/>
    <cellStyle name="Normal 15 4" xfId="6557" xr:uid="{E7C3F0CD-85E4-45C2-A2DE-EBDEA02FDDDD}"/>
    <cellStyle name="Normal 15 5" xfId="6558" xr:uid="{75F5738A-B292-48CE-9898-6876199542AE}"/>
    <cellStyle name="Normal 15 6" xfId="6559" xr:uid="{C9918045-E41D-49AA-8C8F-52AF6D0583D3}"/>
    <cellStyle name="Normal 16" xfId="2210" xr:uid="{FD2DA391-AA06-467A-B874-608E97C00A78}"/>
    <cellStyle name="Normal 16 2" xfId="3469" xr:uid="{8C1050D2-18D3-4562-9758-C96D0FF4F196}"/>
    <cellStyle name="Normal 16 3" xfId="6560" xr:uid="{63C9A5A2-908F-470E-9743-56A4272315A7}"/>
    <cellStyle name="Normal 16 4" xfId="6561" xr:uid="{7EB6504A-4A94-447B-829A-8D0D3F0462A8}"/>
    <cellStyle name="Normal 16 5" xfId="6562" xr:uid="{C8B103A8-42AF-4CFA-A7EB-8A3F5A644248}"/>
    <cellStyle name="Normal 16 6" xfId="6563" xr:uid="{B6695F42-213F-4598-B51C-C87DEC3E19AF}"/>
    <cellStyle name="Normal 17" xfId="2211" xr:uid="{22374A45-177F-4755-9790-0B1933AE23AF}"/>
    <cellStyle name="Normal 17 2" xfId="3470" xr:uid="{628C6E2E-854B-4BCC-9484-B59F7F1D099B}"/>
    <cellStyle name="Normal 17 3" xfId="6564" xr:uid="{36AF42B2-B539-404E-90AE-CDF799570B2B}"/>
    <cellStyle name="Normal 17 4" xfId="6565" xr:uid="{7594FEB1-1A3C-418F-A3B4-EB4D1A53317A}"/>
    <cellStyle name="Normal 17 5" xfId="6566" xr:uid="{28FB98FD-9F72-48AE-BCEE-0BF3B19665EC}"/>
    <cellStyle name="Normal 17 6" xfId="6567" xr:uid="{26AD37EC-36CA-4BA1-B0A7-D75812F6E416}"/>
    <cellStyle name="Normal 18" xfId="2212" xr:uid="{DCCA9DA6-869E-4D6E-A38B-4922FFE4A383}"/>
    <cellStyle name="Normal 18 2" xfId="3472" xr:uid="{73F56E04-AB8A-4821-8FFC-2A2DC6376828}"/>
    <cellStyle name="Normal 18 3" xfId="6568" xr:uid="{E48B06DD-3B17-4B56-ABDD-88807E80E05B}"/>
    <cellStyle name="Normal 18 4" xfId="6569" xr:uid="{0FC337A8-BE96-4D07-998B-D9FA2C4158DC}"/>
    <cellStyle name="Normal 18 5" xfId="6570" xr:uid="{2F62453B-D508-45C8-A39A-FF8596949F81}"/>
    <cellStyle name="Normal 18 6" xfId="6571" xr:uid="{2CEE2C59-ED32-4E93-B67F-FF334FC6A77C}"/>
    <cellStyle name="Normal 19" xfId="2213" xr:uid="{EF397529-CF82-417B-AA76-104A5DCA2CF0}"/>
    <cellStyle name="Normal 19 2" xfId="3471" xr:uid="{4DEBF470-F1A7-4B0E-BAA7-0ADEB8A8CA96}"/>
    <cellStyle name="Normal 19 3" xfId="7773" xr:uid="{A8451492-FAC3-4666-B37E-CF890D94FB97}"/>
    <cellStyle name="Normal 2" xfId="2214" xr:uid="{034B716D-31FD-4409-B244-9BCF924B311A}"/>
    <cellStyle name="Normal 2 10" xfId="2215" xr:uid="{7405CD63-576B-4CFC-BA33-448EF699FC48}"/>
    <cellStyle name="Normal 2 11" xfId="2216" xr:uid="{CECD860A-672F-4D53-92F8-5B7E30354236}"/>
    <cellStyle name="Normal 2 12" xfId="2217" xr:uid="{E9CC3892-F8A1-4522-8FE9-9309522E761A}"/>
    <cellStyle name="Normal 2 13" xfId="2218" xr:uid="{03B33CD4-A00E-493C-8A51-BD3A0CE3C0D9}"/>
    <cellStyle name="Normal 2 14" xfId="2219" xr:uid="{04A9DD96-FEA4-4D73-82F7-750A35D7D582}"/>
    <cellStyle name="Normal 2 15" xfId="2220" xr:uid="{F5D7CC5E-0F51-4143-891B-531DB9F307CC}"/>
    <cellStyle name="Normal 2 16" xfId="2221" xr:uid="{5D60645C-ECE9-4ED4-B10C-71D6D6FB80C7}"/>
    <cellStyle name="Normal 2 17" xfId="2222" xr:uid="{DABAC8EC-FD6A-4918-8297-5F0A815E5BAE}"/>
    <cellStyle name="Normal 2 18" xfId="2223" xr:uid="{02EAA885-3DED-4EC8-8200-29EDA635B4E6}"/>
    <cellStyle name="Normal 2 19" xfId="2224" xr:uid="{F5475968-E86D-4B78-B839-9E5C2D7212DD}"/>
    <cellStyle name="Normal 2 2" xfId="2225" xr:uid="{FD744C81-32AA-4535-A2D2-E4D6A1A085D7}"/>
    <cellStyle name="Normal 2 2 2" xfId="3368" xr:uid="{F7FCC3FF-AAF3-455C-955A-D30BCF431F95}"/>
    <cellStyle name="Normal 2 2 3" xfId="3369" xr:uid="{AE0AF184-6280-46F7-A267-8C0258A6FC22}"/>
    <cellStyle name="Normal 2 2 4" xfId="7726" xr:uid="{D3E64BB8-EE91-4935-A3A8-F43AF828240A}"/>
    <cellStyle name="Normal 2 20" xfId="2226" xr:uid="{6E6C2302-CBD3-4419-AFA3-B811E99BF9C4}"/>
    <cellStyle name="Normal 2 21" xfId="2227" xr:uid="{99E49545-BBD0-48AD-982C-0E95C9160E3F}"/>
    <cellStyle name="Normal 2 22" xfId="2228" xr:uid="{64D9B7D0-DA86-4BDC-961E-08B3C9766F53}"/>
    <cellStyle name="Normal 2 23" xfId="2229" xr:uid="{8168B6EA-3731-4A98-A1F9-D4AF4BF56EE7}"/>
    <cellStyle name="Normal 2 24" xfId="2230" xr:uid="{44681ED8-1CDF-43DC-ABF4-F6D115160725}"/>
    <cellStyle name="Normal 2 25" xfId="2231" xr:uid="{C21B29DE-EE76-4C9B-BE93-405B3F9CF22D}"/>
    <cellStyle name="Normal 2 26" xfId="2232" xr:uid="{517A42A7-65CC-4B32-8947-926F982900E3}"/>
    <cellStyle name="Normal 2 3" xfId="2233" xr:uid="{514E0167-8D89-4551-8389-45DFB681C1DD}"/>
    <cellStyle name="Normal 2 4" xfId="2234" xr:uid="{40F36B25-9F55-4CAC-BABB-706536F61DD0}"/>
    <cellStyle name="Normal 2 5" xfId="2235" xr:uid="{FD5E5450-53E9-4C2C-9749-9F1865E606B4}"/>
    <cellStyle name="Normal 2 6" xfId="2236" xr:uid="{25167FF7-F45E-4492-B56F-8163F34AD299}"/>
    <cellStyle name="Normal 2 7" xfId="2237" xr:uid="{412EED47-7823-42A8-90D5-5001716BB220}"/>
    <cellStyle name="Normal 2 7 2" xfId="6572" xr:uid="{2E18B574-8F2E-43C0-B2EE-2F2BB927CF74}"/>
    <cellStyle name="Normal 2 8" xfId="2238" xr:uid="{F772879E-60B6-48BE-B648-E9C88057B581}"/>
    <cellStyle name="Normal 2 9" xfId="2239" xr:uid="{795394E7-0674-4791-A056-FE4695D7C18D}"/>
    <cellStyle name="Normal 2_Calc Data" xfId="6573" xr:uid="{85F498DD-5577-402D-908D-4AEAC02DD269}"/>
    <cellStyle name="Normal 20" xfId="2240" xr:uid="{67C790D2-596A-4ABE-AD12-7BE57C2B7395}"/>
    <cellStyle name="Normal 20 2" xfId="3482" xr:uid="{33F2CCA6-C9F6-4385-8FDC-16E60FEC55B7}"/>
    <cellStyle name="Normal 20 2 2" xfId="7779" xr:uid="{39979F02-F45C-412A-9F3F-7DCAE6BA7F79}"/>
    <cellStyle name="Normal 20 3" xfId="3502" xr:uid="{1306D3E5-BBFD-4D5C-B6EE-4F94B26A467F}"/>
    <cellStyle name="Normal 21" xfId="2241" xr:uid="{DDD44210-BC86-4383-A67F-9ADE6D3D5826}"/>
    <cellStyle name="Normal 21 2" xfId="3478" xr:uid="{11D451EB-8551-4A96-821D-51F0E3E9C76E}"/>
    <cellStyle name="Normal 21 2 2" xfId="7778" xr:uid="{E7217C81-3E4E-46E0-B44E-4E91F1BAE588}"/>
    <cellStyle name="Normal 21 3" xfId="3498" xr:uid="{B2117A1A-85A2-4098-980F-BEE584A8E201}"/>
    <cellStyle name="Normal 22" xfId="2242" xr:uid="{F2328A25-3E4D-4334-B929-5832F6A68C44}"/>
    <cellStyle name="Normal 22 2" xfId="3483" xr:uid="{1372E366-D623-4D8F-A108-BB442458E75E}"/>
    <cellStyle name="Normal 22 2 2" xfId="7780" xr:uid="{D79A81DB-D75C-41AE-974D-64F81F3C4794}"/>
    <cellStyle name="Normal 22 3" xfId="3499" xr:uid="{F28E9444-DED4-4942-9EFA-79D1C48D2689}"/>
    <cellStyle name="Normal 23" xfId="2243" xr:uid="{CA98F1B2-90D1-4CE4-8957-088982C4D281}"/>
    <cellStyle name="Normal 23 2" xfId="3475" xr:uid="{D9597546-B471-4DFB-9B18-A89BDA03D3A3}"/>
    <cellStyle name="Normal 23 3" xfId="7776" xr:uid="{17113315-095F-4D67-BEE2-F98EABD23A2F}"/>
    <cellStyle name="Normal 24" xfId="2244" xr:uid="{BBB0D514-145F-443D-817B-59E608AE6A96}"/>
    <cellStyle name="Normal 24 2" xfId="3507" xr:uid="{1A661A7E-AC70-4A0E-A54C-3A55165342E8}"/>
    <cellStyle name="Normal 25" xfId="2245" xr:uid="{4251B712-4B5E-4EDA-85DF-2D124A4FA143}"/>
    <cellStyle name="Normal 25 2" xfId="3512" xr:uid="{D34A7C2C-D6D4-4A9C-BB85-048E71AA55D5}"/>
    <cellStyle name="Normal 26" xfId="2246" xr:uid="{9FBD303E-5807-4647-9965-3D81C8907CFB}"/>
    <cellStyle name="Normal 27" xfId="2247" xr:uid="{3878AA07-0698-4F8C-A688-28DE2049147E}"/>
    <cellStyle name="Normal 28" xfId="2248" xr:uid="{7DCA0DE6-73D6-421C-9AF7-079339023AAF}"/>
    <cellStyle name="Normal 29" xfId="2249" xr:uid="{5A131D08-AF53-40E1-B900-97D8BCD92E74}"/>
    <cellStyle name="Normal 3" xfId="2250" xr:uid="{459143FF-5A4E-4CDE-B3F2-A1558AFBF4D0}"/>
    <cellStyle name="Normal 3 10" xfId="2251" xr:uid="{D9FF017A-DAF3-4483-973F-862B16F2F372}"/>
    <cellStyle name="Normal 3 11" xfId="2252" xr:uid="{ACA9ECA9-1F37-44C9-8381-74F9721C7FF5}"/>
    <cellStyle name="Normal 3 12" xfId="2253" xr:uid="{E81221F9-80C6-4F57-90F2-51F45AD37C66}"/>
    <cellStyle name="Normal 3 13" xfId="2254" xr:uid="{40C6E1A7-6A01-4DE3-8F08-EE1783B7EA23}"/>
    <cellStyle name="Normal 3 14" xfId="2255" xr:uid="{A3511CE2-B3C0-4E52-B30B-375DF9912A7D}"/>
    <cellStyle name="Normal 3 15" xfId="2256" xr:uid="{F524B342-352F-48A6-B178-5FF43A3A3847}"/>
    <cellStyle name="Normal 3 16" xfId="2257" xr:uid="{ED3B1C7E-B25C-4B35-A0BD-75FF610949EC}"/>
    <cellStyle name="Normal 3 17" xfId="2258" xr:uid="{849F54CA-3E96-4861-B632-DE8DEDC4D68F}"/>
    <cellStyle name="Normal 3 18" xfId="2259" xr:uid="{6F08CF30-AFE8-4D15-AC12-399A62EE37CE}"/>
    <cellStyle name="Normal 3 19" xfId="2260" xr:uid="{9E241639-1C21-4047-A1F9-93EB15EB8873}"/>
    <cellStyle name="Normal 3 2" xfId="2261" xr:uid="{76C71C9C-F1B4-4DE2-ADF8-B27B8009E1B5}"/>
    <cellStyle name="Normal 3 2 2" xfId="6574" xr:uid="{9B36E837-D0B0-429F-8707-68AAC86C6FFD}"/>
    <cellStyle name="Normal 3 20" xfId="2262" xr:uid="{1C8A2862-86F7-4047-A2FD-FFF80B167F39}"/>
    <cellStyle name="Normal 3 21" xfId="2263" xr:uid="{85F3DBCA-C7D7-4314-94FE-D9DDF20B42E4}"/>
    <cellStyle name="Normal 3 22" xfId="2264" xr:uid="{9FF320CA-09C5-404C-8E24-3F637D6B67B4}"/>
    <cellStyle name="Normal 3 23" xfId="2265" xr:uid="{789176B3-0A58-4CF5-ADBA-B1D450D6B3D2}"/>
    <cellStyle name="Normal 3 24" xfId="2266" xr:uid="{3BBA8DAC-FF78-42A5-AA35-44360FBE58D3}"/>
    <cellStyle name="Normal 3 25" xfId="2267" xr:uid="{89E8C4C9-52BE-4505-B89F-E3D4AC9932F6}"/>
    <cellStyle name="Normal 3 26" xfId="2268" xr:uid="{1B4CCE7F-69C9-43C4-96B1-0CB602C534A1}"/>
    <cellStyle name="Normal 3 26 2" xfId="7663" xr:uid="{9373D536-CD89-435C-9973-4811235500A5}"/>
    <cellStyle name="Normal 3 3" xfId="2269" xr:uid="{8F3EBD95-6074-468C-8BA3-8A38084E2C5B}"/>
    <cellStyle name="Normal 3 4" xfId="2270" xr:uid="{132310E8-ECB3-4422-8A2C-BBAB74757BC6}"/>
    <cellStyle name="Normal 3 5" xfId="2271" xr:uid="{EE7A6F1F-251A-4AC9-B14A-89F608F992F6}"/>
    <cellStyle name="Normal 3 6" xfId="2272" xr:uid="{C2BF5492-1199-4B81-9864-CA5974B3F6A6}"/>
    <cellStyle name="Normal 3 7" xfId="2273" xr:uid="{521BC4D5-37F4-495D-998D-9200CB174975}"/>
    <cellStyle name="Normal 3 8" xfId="2274" xr:uid="{2B1F3397-B473-4348-A3AD-893496190F07}"/>
    <cellStyle name="Normal 3 9" xfId="2275" xr:uid="{2696A09B-D3EE-4E07-BDD2-E7EE6634CF7A}"/>
    <cellStyle name="Normal 30" xfId="2276" xr:uid="{6D22E091-87F6-4DF3-8535-80B492509ADB}"/>
    <cellStyle name="Normal 31" xfId="2277" xr:uid="{E91369AC-01B6-4484-A4EA-5302720F91AF}"/>
    <cellStyle name="Normal 32" xfId="2278" xr:uid="{5BB59473-A285-4179-8FC7-55BFE51797B6}"/>
    <cellStyle name="Normal 33" xfId="2279" xr:uid="{0ED394A4-CB2D-4723-B7E7-5A3989DA1BFF}"/>
    <cellStyle name="Normal 34" xfId="2280" xr:uid="{2C4081F6-BD7C-4A23-BC93-40EAAB15FE83}"/>
    <cellStyle name="Normal 35" xfId="2281" xr:uid="{7FA021BD-1B41-461E-8EB4-FD0B6AE6E4F8}"/>
    <cellStyle name="Normal 36" xfId="2282" xr:uid="{B71476DB-DCF9-404C-917F-05A0EB3A138B}"/>
    <cellStyle name="Normal 37" xfId="2283" xr:uid="{46AEF951-67A9-493C-B271-A0F78C652E95}"/>
    <cellStyle name="Normal 38" xfId="2284" xr:uid="{8377DBC6-E4F6-4E65-968F-D543C9F68553}"/>
    <cellStyle name="Normal 39" xfId="2285" xr:uid="{4CA22318-B1D5-4465-AE62-9C572C32005D}"/>
    <cellStyle name="Normal 4" xfId="2286" xr:uid="{5C754A11-B62F-41D2-A3ED-00D595998B06}"/>
    <cellStyle name="Normal 4 2" xfId="2287" xr:uid="{25E0FD67-E2F0-48E5-9803-38F949BAEDBA}"/>
    <cellStyle name="Normal 4 2 2" xfId="3404" xr:uid="{888C0008-DDB3-4F09-A9B5-89D6511BE1ED}"/>
    <cellStyle name="Normal 4 2 3" xfId="7747" xr:uid="{CECF89C8-5C9F-4502-9A61-CE094E1A1E0A}"/>
    <cellStyle name="Normal 4 3" xfId="3455" xr:uid="{046E94AE-6DD8-4D1D-BED5-99A27DC29AEF}"/>
    <cellStyle name="Normal 4 4" xfId="3338" xr:uid="{57024891-0E56-43F6-9294-47EBC8110F78}"/>
    <cellStyle name="Normal 4 5" xfId="7664" xr:uid="{AD7DA636-820D-4936-BB50-42381D89BE61}"/>
    <cellStyle name="Normal 4_Calc Data" xfId="6575" xr:uid="{BDC5147D-D43E-4E5E-BCDC-7D32AF1BED12}"/>
    <cellStyle name="Normal 40" xfId="2288" xr:uid="{114B6218-D65B-4F5B-99E6-D6605B68A824}"/>
    <cellStyle name="Normal 41" xfId="2289" xr:uid="{69B766AB-735C-43BA-BC57-6EAE4B453BE0}"/>
    <cellStyle name="Normal 42" xfId="2290" xr:uid="{9BC209B7-C2B8-4E88-BBE3-CC7294469DC6}"/>
    <cellStyle name="Normal 43" xfId="2291" xr:uid="{3C17E3DC-7E23-4DAE-B6D1-C2208BC6B54C}"/>
    <cellStyle name="Normal 44" xfId="2292" xr:uid="{F8D2B41C-B761-4591-96BE-5CA54B59714F}"/>
    <cellStyle name="Normal 44 2" xfId="7665" xr:uid="{9A2DDF11-1D01-4930-8113-172378D6B1B6}"/>
    <cellStyle name="Normal 45" xfId="2293" xr:uid="{CFB458C1-23DF-41D4-A05D-2BB910E48768}"/>
    <cellStyle name="Normal 46" xfId="2294" xr:uid="{A8AACC69-6A60-4AA5-8E81-4D70DD3CE1AB}"/>
    <cellStyle name="Normal 47" xfId="2295" xr:uid="{A8458BC4-0EB7-4638-BB17-00D332465F37}"/>
    <cellStyle name="Normal 48" xfId="2296" xr:uid="{2D407EE1-408C-4473-B0E6-95954DF691DC}"/>
    <cellStyle name="Normal 49" xfId="2297" xr:uid="{5622753C-1323-421F-B07E-1C7D7BC951A8}"/>
    <cellStyle name="Normal 5" xfId="2298" xr:uid="{FAE01423-3C10-4C18-A720-4E076A6AB0A9}"/>
    <cellStyle name="Normal 5 2" xfId="2299" xr:uid="{D2B438FA-4572-4856-9FD3-5793E7E53536}"/>
    <cellStyle name="Normal 5 3" xfId="6576" xr:uid="{AA660926-62A7-499F-9DCB-1CD53EC60659}"/>
    <cellStyle name="Normal 5 4" xfId="6577" xr:uid="{2F6A43D9-9BDF-4C55-AFD0-982EDF690971}"/>
    <cellStyle name="Normal 5 5" xfId="6578" xr:uid="{F8F50FA4-83F1-485C-8F66-A3E8CCAB34DB}"/>
    <cellStyle name="Normal 5 6" xfId="6579" xr:uid="{67329D61-442C-4C33-9F57-67075FA505FD}"/>
    <cellStyle name="Normal 5 7" xfId="6580" xr:uid="{28657846-664F-47D8-AADE-1939DDA53D0C}"/>
    <cellStyle name="Normal 5 8" xfId="3339" xr:uid="{E0243FDE-BB63-42CC-8973-18C87AAB2C45}"/>
    <cellStyle name="Normal 5_Calc Data" xfId="6581" xr:uid="{094B46F1-3B8B-4D65-BEB9-36BEE2760EA9}"/>
    <cellStyle name="Normal 50" xfId="2300" xr:uid="{8176F80F-FBE8-4349-9A33-F5D1012D1010}"/>
    <cellStyle name="Normal 50 2" xfId="7666" xr:uid="{F6F5E435-CB21-493A-9F14-2BEE913ACC24}"/>
    <cellStyle name="Normal 51" xfId="2301" xr:uid="{42E0ACAE-C6BF-4EA4-907D-F255FA9A0EE9}"/>
    <cellStyle name="Normal 51 2" xfId="7667" xr:uid="{593544E1-C7D4-44B9-B14B-B6C2E6D0330A}"/>
    <cellStyle name="Normal 52" xfId="2302" xr:uid="{40D06DC7-CA07-42BB-8151-9AE8EC1BBE52}"/>
    <cellStyle name="Normal 52 2" xfId="7668" xr:uid="{DA10EDC4-85D3-4348-BA12-40BC19B6A0FB}"/>
    <cellStyle name="Normal 53" xfId="2303" xr:uid="{5FD7C6BC-E3E0-4C88-BB94-D42039B3CD28}"/>
    <cellStyle name="Normal 53 2" xfId="7669" xr:uid="{95BD09B5-1AAC-4407-B08B-8D562D2F3146}"/>
    <cellStyle name="Normal 54" xfId="2304" xr:uid="{D6148B3C-3C5E-4F4C-BA18-1FC3B2280D23}"/>
    <cellStyle name="Normal 54 2" xfId="7670" xr:uid="{74978875-4EAB-489D-AF05-A55BA3DF58D5}"/>
    <cellStyle name="Normal 55" xfId="2305" xr:uid="{A3CF5779-70FD-40C7-90C1-BCBCD6C3C69C}"/>
    <cellStyle name="Normal 56" xfId="2306" xr:uid="{3B881294-4D66-4CCA-9878-E3FC5D750FFD}"/>
    <cellStyle name="Normal 57" xfId="2307" xr:uid="{D583C77D-CF9A-4B95-9A38-5DF1CCC2DFD1}"/>
    <cellStyle name="Normal 58" xfId="2308" xr:uid="{D5A27804-9A52-41BF-894E-7AC2C05636A2}"/>
    <cellStyle name="Normal 59" xfId="2309" xr:uid="{75E4FDA0-2615-4517-8901-9835F9456AF6}"/>
    <cellStyle name="Normal 6" xfId="2310" xr:uid="{A515092E-5738-4A50-AC7D-3F9FCA9E648E}"/>
    <cellStyle name="Normal 6 2" xfId="6582" xr:uid="{0107BD4D-9A2B-48C2-9D83-1BB37B5C85B5}"/>
    <cellStyle name="Normal 6 3" xfId="6583" xr:uid="{E139952A-31D7-4D7A-9368-8B8FC060E2A6}"/>
    <cellStyle name="Normal 6 4" xfId="6584" xr:uid="{FF4E4F1E-CF07-4072-B6F8-F81A122057BC}"/>
    <cellStyle name="Normal 6 5" xfId="6585" xr:uid="{28E4D259-7665-4403-A4D6-30345AA5F659}"/>
    <cellStyle name="Normal 6 6" xfId="6586" xr:uid="{F9F6F7FE-486E-4F91-B5E0-BDB840BAE82A}"/>
    <cellStyle name="Normal 6 7" xfId="6587" xr:uid="{6B01BCB5-6A4D-4C7D-AD4F-89CFC6F8543F}"/>
    <cellStyle name="Normal 6_Calc Data" xfId="6588" xr:uid="{8B119E44-B2CC-4147-AB91-91280A578116}"/>
    <cellStyle name="Normal 60" xfId="2311" xr:uid="{82353E2D-E487-478E-B017-FE5574322147}"/>
    <cellStyle name="Normal 61" xfId="2312" xr:uid="{F28C8449-DD15-4B9D-81A1-BD138A136B05}"/>
    <cellStyle name="Normal 62" xfId="2313" xr:uid="{252D2ACF-D53D-42D3-B42E-B96DF5A4D2E7}"/>
    <cellStyle name="Normal 63" xfId="2314" xr:uid="{F2077577-CAAD-44D2-9F72-F0AE67E27626}"/>
    <cellStyle name="Normal 64" xfId="2315" xr:uid="{B6D16E54-0FF3-48FC-8895-782BBB248D46}"/>
    <cellStyle name="Normal 65" xfId="2316" xr:uid="{06C90712-829E-4BF1-AC60-FFE9DDACB853}"/>
    <cellStyle name="Normal 66" xfId="2317" xr:uid="{56A19264-EE3E-43C1-88DA-0B75645447F5}"/>
    <cellStyle name="Normal 67" xfId="2318" xr:uid="{4AD0E040-F3A3-44E0-95F9-297393D41B4E}"/>
    <cellStyle name="Normal 68" xfId="2319" xr:uid="{1D83B7D6-0374-47EF-87D9-90D998037C31}"/>
    <cellStyle name="Normal 69" xfId="2320" xr:uid="{72019754-FF62-467A-BE8C-17616EE8D58D}"/>
    <cellStyle name="Normal 7" xfId="2321" xr:uid="{484E5BEF-B910-4627-83B6-867EB72A087B}"/>
    <cellStyle name="Normal 7 2" xfId="2322" xr:uid="{6E35FDC1-7D9E-41AC-8718-B31664D62D81}"/>
    <cellStyle name="Normal 7_Calc Data" xfId="6589" xr:uid="{08E15A8B-F4F9-4A9B-9D79-37E7AA7C7355}"/>
    <cellStyle name="Normal 70" xfId="2323" xr:uid="{900E2BAB-C39E-4C81-A307-F2282900D388}"/>
    <cellStyle name="Normal 71" xfId="3302" xr:uid="{26B79040-6365-45C8-8C14-B3BA19A718A3}"/>
    <cellStyle name="Normal 72" xfId="7156" xr:uid="{C03D3D59-6F98-41FA-92C7-95CD24229BB5}"/>
    <cellStyle name="Normal 73" xfId="7710" xr:uid="{BFE36678-D1AF-4355-B251-4D27958CCFD2}"/>
    <cellStyle name="Normal 74" xfId="7817" xr:uid="{7E8349B6-3888-486C-903C-5CA95612AE45}"/>
    <cellStyle name="Normal 75" xfId="8205" xr:uid="{E371D5E9-EC34-694D-8259-830065AC1E94}"/>
    <cellStyle name="Normal 76" xfId="8208" xr:uid="{CA842A9A-98FC-AC4E-9016-0C4EA09F56B7}"/>
    <cellStyle name="Normal 77" xfId="8211" xr:uid="{19CA6274-FA8F-AC4B-A332-240E5B2544D4}"/>
    <cellStyle name="Normal 8" xfId="2324" xr:uid="{32C29A66-91F3-4857-9A95-156D4F48FCAB}"/>
    <cellStyle name="Normal 8 2" xfId="2325" xr:uid="{218F921C-4981-4AC7-88BD-9322F635D2A7}"/>
    <cellStyle name="Normal 8_Calc Data" xfId="6590" xr:uid="{81FC1777-B12A-4A03-B472-98F1148144A3}"/>
    <cellStyle name="Normal 9" xfId="2326" xr:uid="{12F7B7CA-110F-4CAC-8939-7746D986B8BF}"/>
    <cellStyle name="Normal 9 2" xfId="6591" xr:uid="{4E247F65-01D0-46C1-AA69-A3F536BF9D1C}"/>
    <cellStyle name="Normal 9 3" xfId="6592" xr:uid="{2EF62152-D0AF-45AA-83D0-9784C54AAEB5}"/>
    <cellStyle name="Normal 9 4" xfId="6593" xr:uid="{1BCAA083-2243-4260-BF93-40D8D1DFF4D9}"/>
    <cellStyle name="Normal 9 5" xfId="6594" xr:uid="{5D982131-6CCA-48CC-B614-594578B4ED67}"/>
    <cellStyle name="Normal 9 6" xfId="6595" xr:uid="{A0AD1B98-B1BA-437A-81FC-803195CB5666}"/>
    <cellStyle name="Normal 9 7" xfId="6596" xr:uid="{E4945660-8796-486B-B2A8-AD25ECEA69DA}"/>
    <cellStyle name="Normal Bold" xfId="6597" xr:uid="{33CC778F-7A02-4279-A5F7-8B8EA7EB3502}"/>
    <cellStyle name="Normal Cells" xfId="2327" xr:uid="{E5B1434E-A1D0-49D5-9566-777D133431A2}"/>
    <cellStyle name="Normal Cells 2" xfId="6598" xr:uid="{EAD3F5BB-B55A-438E-BEB8-7F5D46E7E3D8}"/>
    <cellStyle name="Normal- Enter (1)" xfId="6599" xr:uid="{A12B3B2A-24C4-4B7B-BA69-7D015A763F36}"/>
    <cellStyle name="Normal- Enter (1) 2" xfId="6600" xr:uid="{509EFAF7-8DFC-45B1-9F53-7334EB1F11DE}"/>
    <cellStyle name="Normal- Enter (1) 3" xfId="6601" xr:uid="{1FC4650B-A335-488E-A9E7-6824514FF8D9}"/>
    <cellStyle name="Normal- Enter (1) 4" xfId="6602" xr:uid="{B61B0498-CA6A-46BD-A000-0639B2F35AB0}"/>
    <cellStyle name="Normal- Enter (1) 5" xfId="6603" xr:uid="{1F229327-245C-4F62-B16B-F41B2A3E0C75}"/>
    <cellStyle name="Normal- Enter (1) 6" xfId="6604" xr:uid="{486053C0-D213-4A9D-A289-17766C47ECBA}"/>
    <cellStyle name="Normal-Entry" xfId="6605" xr:uid="{5CC3B66B-A928-4AD3-B48F-7BF294986C17}"/>
    <cellStyle name="Normal-Input(1)" xfId="6607" xr:uid="{D30DC7AA-DAAB-468D-9E02-E7CDB2C37FFE}"/>
    <cellStyle name="Normal-Input(1) 2" xfId="7813" xr:uid="{A138CC66-4032-4486-91E9-1FD490077717}"/>
    <cellStyle name="normal1" xfId="3340" xr:uid="{CB86A250-64F8-4516-90F3-5A60810E4FBD}"/>
    <cellStyle name="NormalGB" xfId="6606" xr:uid="{665BB4AF-B60D-42C6-AC2D-15CF9F09902F}"/>
    <cellStyle name="Normalny 2" xfId="1" xr:uid="{AFBCB18C-0D2E-475A-92BB-7A3A87D61C08}"/>
    <cellStyle name="Note 10" xfId="2328" xr:uid="{706293D7-411C-4B03-8918-86CD09F59669}"/>
    <cellStyle name="Note 10 2" xfId="2329" xr:uid="{AB536448-B647-418F-AADA-A4BA96E6287F}"/>
    <cellStyle name="Note 10 2 2" xfId="2330" xr:uid="{A2CE5978-0A3A-4275-BF63-81E98E3F621A}"/>
    <cellStyle name="Note 10 2 2 2" xfId="6609" xr:uid="{1E06AC61-3889-4689-9CAE-BA84867B046D}"/>
    <cellStyle name="Note 10 2 3" xfId="2331" xr:uid="{0D358080-47A4-45D6-A973-A96E7C89298C}"/>
    <cellStyle name="Note 10 2 3 2" xfId="6610" xr:uid="{02C17029-7621-488F-A256-BFE0DFA6A8EE}"/>
    <cellStyle name="Note 10 2 4" xfId="6608" xr:uid="{22C5F2B7-F250-465A-A880-9D33CA0CEF09}"/>
    <cellStyle name="Note 10 3" xfId="2332" xr:uid="{457E189F-C1DD-4836-92CD-B31D6578F658}"/>
    <cellStyle name="Note 10 3 2" xfId="2333" xr:uid="{B00A28D5-ED36-4F18-8AD2-84CD90718181}"/>
    <cellStyle name="Note 10 3 2 2" xfId="6612" xr:uid="{E2AC2A36-B259-4B89-B40F-65F67964D46E}"/>
    <cellStyle name="Note 10 3 3" xfId="2334" xr:uid="{49DCE2DB-9A13-4316-A506-110201E55BA0}"/>
    <cellStyle name="Note 10 3 3 2" xfId="6613" xr:uid="{FF7896BF-813F-4153-85FB-0863E9CDB8FB}"/>
    <cellStyle name="Note 10 3 4" xfId="6611" xr:uid="{F2DAD6D7-B8ED-4AD2-A9A6-DAF96CAF3BC9}"/>
    <cellStyle name="Note 10 4" xfId="2335" xr:uid="{B77E3E5C-89CD-46DA-89FE-ED6F005DA553}"/>
    <cellStyle name="Note 10 4 2" xfId="2336" xr:uid="{1E72F50B-0856-4EAB-A9C1-4C815A8656DD}"/>
    <cellStyle name="Note 10 4 2 2" xfId="6615" xr:uid="{60000BB3-5EB6-4BAA-B49E-A91897DE0928}"/>
    <cellStyle name="Note 10 4 3" xfId="2337" xr:uid="{C8E45912-AA52-4675-B2A3-C88BCC377B25}"/>
    <cellStyle name="Note 10 4 3 2" xfId="6616" xr:uid="{6A1C7002-5056-46D6-B03A-D4C91F9AA23B}"/>
    <cellStyle name="Note 10 4 4" xfId="6614" xr:uid="{2AC4FE5C-DFBD-418B-8700-431283CD1923}"/>
    <cellStyle name="Note 10 5" xfId="2338" xr:uid="{F1A5F417-732F-45B4-BDAD-42458FACCB6C}"/>
    <cellStyle name="Note 10 5 2" xfId="2339" xr:uid="{A1FE40B6-3BC3-4012-A3C9-FA934708F941}"/>
    <cellStyle name="Note 10 5 2 2" xfId="6618" xr:uid="{CB3C1F87-8246-45F8-A53E-1F403404288B}"/>
    <cellStyle name="Note 10 5 3" xfId="2340" xr:uid="{A3E6DC06-642A-4B09-B76D-A05DD8133735}"/>
    <cellStyle name="Note 10 5 3 2" xfId="6619" xr:uid="{898E32C2-7E2D-4C80-AD22-7BF3DF0883F6}"/>
    <cellStyle name="Note 10 5 4" xfId="6617" xr:uid="{8C4194D7-6BF2-46EE-8D6C-BC55A6CCE9C7}"/>
    <cellStyle name="Note 10 6" xfId="2341" xr:uid="{4557461D-32D6-41EC-9FBE-234134858735}"/>
    <cellStyle name="Note 10 6 2" xfId="6621" xr:uid="{68BC76E0-C583-449C-AC0A-DB8588474D75}"/>
    <cellStyle name="Note 10 6 3" xfId="6622" xr:uid="{AE94B25C-F4B9-4582-8FE2-E405BC3E2BA4}"/>
    <cellStyle name="Note 10 6 4" xfId="6620" xr:uid="{A0BB8104-2E1F-4B5F-A8AB-9791C063B183}"/>
    <cellStyle name="Note 10 7" xfId="6623" xr:uid="{6A0BC100-0C35-4A3C-BD0D-D98A87BF3FB4}"/>
    <cellStyle name="Note 10 7 2" xfId="6624" xr:uid="{0B865030-44A4-49DF-8A85-53A520141237}"/>
    <cellStyle name="Note 10 7 3" xfId="6625" xr:uid="{FCE04A0C-0421-44AA-818D-D69D7FBEAE04}"/>
    <cellStyle name="Note 10 8" xfId="6626" xr:uid="{A29D2DD9-1987-4681-9913-B37448EC912D}"/>
    <cellStyle name="Note 10 8 2" xfId="6627" xr:uid="{CBA16BD4-680B-42C5-BDCA-CFA8DD060566}"/>
    <cellStyle name="Note 10 8 3" xfId="6628" xr:uid="{B65C46EF-167C-457B-A138-EC2B461067D3}"/>
    <cellStyle name="Note 10 9" xfId="6629" xr:uid="{79830C33-2C1F-4853-BD92-BA19B1380AD0}"/>
    <cellStyle name="Note 10 9 2" xfId="6630" xr:uid="{CBE9BC87-6E90-4B31-80C7-2C52F03CF446}"/>
    <cellStyle name="Note 10 9 3" xfId="6631" xr:uid="{B4ABA09C-090C-4DA3-9A3E-FC0156D3AA95}"/>
    <cellStyle name="Note 11" xfId="2342" xr:uid="{336597E8-FE89-4369-BC91-AA45A14EBF1D}"/>
    <cellStyle name="Note 11 2" xfId="2343" xr:uid="{85F30628-604D-4E77-986F-EE595962C216}"/>
    <cellStyle name="Note 11 2 2" xfId="2344" xr:uid="{DCDBD189-D843-4C47-AF51-198366546B6D}"/>
    <cellStyle name="Note 11 2 2 2" xfId="6633" xr:uid="{9D7AA28E-12E0-4633-8E59-5DED40182CB2}"/>
    <cellStyle name="Note 11 2 3" xfId="2345" xr:uid="{EF2D9182-D3AF-4178-A714-FB6252566F11}"/>
    <cellStyle name="Note 11 2 3 2" xfId="6634" xr:uid="{0725EEB3-F8BA-429D-A743-75B7CB4BF98B}"/>
    <cellStyle name="Note 11 2 4" xfId="6632" xr:uid="{46D995E6-A202-489B-9145-7ABA42F4F9EF}"/>
    <cellStyle name="Note 11 3" xfId="2346" xr:uid="{36273AC3-E1F1-4EBB-B147-A94260D61D83}"/>
    <cellStyle name="Note 11 3 2" xfId="2347" xr:uid="{DDDA1E0F-05D9-4702-AD1E-2EE947746E6D}"/>
    <cellStyle name="Note 11 3 2 2" xfId="6636" xr:uid="{06CAB5B8-4908-4606-8A72-239AE0DB1E87}"/>
    <cellStyle name="Note 11 3 3" xfId="2348" xr:uid="{4ED9A08E-FE02-4C20-83D7-2C8EF924D70E}"/>
    <cellStyle name="Note 11 3 3 2" xfId="6637" xr:uid="{8AC50ADC-80D4-48EE-B79E-866A14D21905}"/>
    <cellStyle name="Note 11 3 4" xfId="6635" xr:uid="{A48CE9EC-568E-4E57-A17A-5099946A8963}"/>
    <cellStyle name="Note 11 4" xfId="2349" xr:uid="{6EC692E2-B828-4140-B903-CAA679306374}"/>
    <cellStyle name="Note 11 4 2" xfId="2350" xr:uid="{F651E901-8440-4457-9946-04C92BEEF0AD}"/>
    <cellStyle name="Note 11 4 2 2" xfId="6639" xr:uid="{E56B2C9D-F056-4402-9C84-855F0424416B}"/>
    <cellStyle name="Note 11 4 3" xfId="2351" xr:uid="{7EC992CD-E762-4C70-8C27-53881AEA37B5}"/>
    <cellStyle name="Note 11 4 3 2" xfId="6640" xr:uid="{B194DDFD-F107-4963-9CA4-93A7B30ED683}"/>
    <cellStyle name="Note 11 4 4" xfId="6638" xr:uid="{E8DDD9D6-C650-482F-AA2B-F682B9D7EBB5}"/>
    <cellStyle name="Note 11 5" xfId="2352" xr:uid="{5F32D5AD-E856-4F74-A6E5-CAD6241926CC}"/>
    <cellStyle name="Note 11 5 2" xfId="2353" xr:uid="{763AFE35-16DC-4C37-BF78-289C277240A6}"/>
    <cellStyle name="Note 11 5 2 2" xfId="6642" xr:uid="{DA5C27B0-D25E-43C6-8611-2316290912A9}"/>
    <cellStyle name="Note 11 5 3" xfId="2354" xr:uid="{400A91CF-2DF7-4276-9E89-13EFD14A6FAE}"/>
    <cellStyle name="Note 11 5 3 2" xfId="6643" xr:uid="{0FDF0931-BBF0-40F8-99D6-2E38401A805B}"/>
    <cellStyle name="Note 11 5 4" xfId="6641" xr:uid="{04BBAE9A-B1D2-4633-A3F6-58A68839C696}"/>
    <cellStyle name="Note 11 6" xfId="2355" xr:uid="{F7202D59-590D-4312-90C5-B4D1D4CEDFF9}"/>
    <cellStyle name="Note 11 6 2" xfId="6645" xr:uid="{FC526B34-801D-4A2E-A5EE-9187E228278D}"/>
    <cellStyle name="Note 11 6 3" xfId="6646" xr:uid="{0E918796-9EA2-469F-AF43-239D697686AC}"/>
    <cellStyle name="Note 11 6 4" xfId="6644" xr:uid="{54C056A1-F3E8-4188-B8C3-39B99E3D1203}"/>
    <cellStyle name="Note 11 7" xfId="6647" xr:uid="{270E400D-153F-47A9-8AC3-BA5E59BDE98F}"/>
    <cellStyle name="Note 11 7 2" xfId="6648" xr:uid="{7F3877FF-3494-45C4-BEF3-FE7E8F665DBB}"/>
    <cellStyle name="Note 11 7 3" xfId="6649" xr:uid="{D7E0E931-134E-4CBD-A9AE-0DB021918546}"/>
    <cellStyle name="Note 11 8" xfId="6650" xr:uid="{4B385766-394E-4BA1-AA09-B621FEEF4246}"/>
    <cellStyle name="Note 11 8 2" xfId="6651" xr:uid="{AC6E9511-4445-48F1-A95B-6A2F0FB90DB8}"/>
    <cellStyle name="Note 11 8 3" xfId="6652" xr:uid="{0C7D61F2-C0C5-4A76-9FD4-AC770FE02E06}"/>
    <cellStyle name="Note 11 9" xfId="6653" xr:uid="{3C47122C-3A96-4649-A762-E270B2BFDA11}"/>
    <cellStyle name="Note 11 9 2" xfId="6654" xr:uid="{109A4C47-2690-4E01-BA38-D7B4EAD2E0D1}"/>
    <cellStyle name="Note 11 9 3" xfId="6655" xr:uid="{59717D25-E2CA-4F1E-9B12-1E81DD4217AC}"/>
    <cellStyle name="Note 12" xfId="2356" xr:uid="{4F7F784B-99ED-49B3-83B0-88009FE9DCC0}"/>
    <cellStyle name="Note 12 2" xfId="2357" xr:uid="{6C5E8AF6-8129-426B-B009-FFADB8C8D704}"/>
    <cellStyle name="Note 12 2 2" xfId="2358" xr:uid="{F6206C86-A5B6-4AB5-B21D-79DA501F4FF8}"/>
    <cellStyle name="Note 12 2 2 2" xfId="6657" xr:uid="{8035D0B0-294A-4FCF-86A7-EFF90AF3CB74}"/>
    <cellStyle name="Note 12 2 3" xfId="2359" xr:uid="{BFFC5D73-3A65-4DFA-9665-69EC6C4DB773}"/>
    <cellStyle name="Note 12 2 3 2" xfId="6658" xr:uid="{EFC5198E-4894-4DDF-AFEC-ABCDAB425247}"/>
    <cellStyle name="Note 12 2 4" xfId="6656" xr:uid="{448EA191-0F72-4266-9C26-610FC1DAE5B8}"/>
    <cellStyle name="Note 12 3" xfId="2360" xr:uid="{4E52082F-D2FF-4F1A-8A2B-3E9C97059882}"/>
    <cellStyle name="Note 12 3 2" xfId="2361" xr:uid="{790D14CD-2C5B-4250-9CAC-8ACF59E98A5E}"/>
    <cellStyle name="Note 12 3 2 2" xfId="6660" xr:uid="{DB3C1EA6-E5AC-4F8B-B342-FC7D760AD731}"/>
    <cellStyle name="Note 12 3 3" xfId="2362" xr:uid="{118A9A60-580D-4A75-B058-03696C9597A6}"/>
    <cellStyle name="Note 12 3 3 2" xfId="6661" xr:uid="{B373BDB7-80E4-4AAA-8A27-E92F0FD21774}"/>
    <cellStyle name="Note 12 3 4" xfId="6659" xr:uid="{51426BF6-C2A1-4889-A1A3-9543D40C0C56}"/>
    <cellStyle name="Note 12 4" xfId="2363" xr:uid="{3C33D807-AE9D-4C87-BE36-DE113F6393BC}"/>
    <cellStyle name="Note 12 4 2" xfId="2364" xr:uid="{1F4202D2-92A2-46F6-8701-496C426F6779}"/>
    <cellStyle name="Note 12 4 2 2" xfId="6663" xr:uid="{46685A8F-5C51-470D-A01D-6D9CDB55DF5A}"/>
    <cellStyle name="Note 12 4 3" xfId="2365" xr:uid="{362ED1EB-ACC9-45C3-8CFC-916C8D465193}"/>
    <cellStyle name="Note 12 4 3 2" xfId="6664" xr:uid="{7189CF26-29E1-46CB-8118-CF0D9C0DADE4}"/>
    <cellStyle name="Note 12 4 4" xfId="6662" xr:uid="{E1DFB9FA-0BC0-4387-A74B-5D459824ECF0}"/>
    <cellStyle name="Note 12 5" xfId="2366" xr:uid="{89C8354A-A6D6-4A71-BD2E-455BA779BE04}"/>
    <cellStyle name="Note 12 5 2" xfId="2367" xr:uid="{D394D85B-96BA-4B96-9F5B-3A189C9B88EB}"/>
    <cellStyle name="Note 12 5 2 2" xfId="6666" xr:uid="{5483FB88-3257-40A3-92EC-298914F924C0}"/>
    <cellStyle name="Note 12 5 3" xfId="2368" xr:uid="{BA253F41-B058-4299-B2A4-B742092B0749}"/>
    <cellStyle name="Note 12 5 3 2" xfId="6667" xr:uid="{831E42DB-F224-45BB-80D1-774D446369AC}"/>
    <cellStyle name="Note 12 5 4" xfId="6665" xr:uid="{1A80BCAD-12D7-4CB2-BDE0-847D1F0D72A7}"/>
    <cellStyle name="Note 12 6" xfId="2369" xr:uid="{05454A4F-F348-4A4D-B9B7-BE8731023E56}"/>
    <cellStyle name="Note 12 6 2" xfId="6669" xr:uid="{F54E9866-729A-4A8E-96F9-4B90A7153135}"/>
    <cellStyle name="Note 12 6 3" xfId="6670" xr:uid="{2C36C223-ACDF-490B-BBC6-3CA31DDEC4B2}"/>
    <cellStyle name="Note 12 6 4" xfId="6668" xr:uid="{E68C6CA4-428A-4A20-ACB1-72F7FD5B6481}"/>
    <cellStyle name="Note 12 7" xfId="6671" xr:uid="{8BEE1DB9-6D4D-45E3-ACDE-88715983D4C1}"/>
    <cellStyle name="Note 12 7 2" xfId="6672" xr:uid="{7255CAAB-5410-4F90-B8E5-82C048EF92DA}"/>
    <cellStyle name="Note 12 7 3" xfId="6673" xr:uid="{53329636-9577-400C-90B4-FD1CBBC31F5F}"/>
    <cellStyle name="Note 12 8" xfId="6674" xr:uid="{5C4C263D-398F-4443-88E1-38DE07241776}"/>
    <cellStyle name="Note 12 8 2" xfId="6675" xr:uid="{4ABE18CC-3506-4B10-8137-819054C3B63D}"/>
    <cellStyle name="Note 12 8 3" xfId="6676" xr:uid="{CB8CD7CE-23E0-4B73-B04F-B05A35DCF7A9}"/>
    <cellStyle name="Note 12 9" xfId="6677" xr:uid="{4A24F150-15DC-4329-8685-B6A9F7BA4754}"/>
    <cellStyle name="Note 12 9 2" xfId="6678" xr:uid="{143675A9-7CBD-4630-A668-CAA2314157BE}"/>
    <cellStyle name="Note 12 9 3" xfId="6679" xr:uid="{D85E56DE-F714-48A1-952B-1BEDD7A16AF3}"/>
    <cellStyle name="Note 13" xfId="2370" xr:uid="{45694AD3-51BC-407D-B2FD-B0C20DE3E858}"/>
    <cellStyle name="Note 13 2" xfId="2371" xr:uid="{64139048-0580-44EB-BE05-40CC89E540DC}"/>
    <cellStyle name="Note 13 2 2" xfId="6681" xr:uid="{0E07B75C-C6EA-4841-A46E-33C6C65241FB}"/>
    <cellStyle name="Note 13 2 3" xfId="6682" xr:uid="{5D5B7B1C-DFA2-4D41-A318-BAC7562125D2}"/>
    <cellStyle name="Note 13 2 4" xfId="6680" xr:uid="{1A0D178F-0E55-47E1-9487-CDA5D96784AA}"/>
    <cellStyle name="Note 14" xfId="2372" xr:uid="{B6F17CD1-5A7D-4C8F-99D9-C65670044666}"/>
    <cellStyle name="Note 14 2" xfId="2373" xr:uid="{EADFD9F6-19F6-4286-8FFE-C8ADAC190826}"/>
    <cellStyle name="Note 14 2 2" xfId="6684" xr:uid="{55D860E6-149C-4882-8982-F16BF714E8AB}"/>
    <cellStyle name="Note 14 2 3" xfId="6685" xr:uid="{FB75B205-CE4D-4F9A-88DC-7D99D1AD9FD5}"/>
    <cellStyle name="Note 14 2 4" xfId="6683" xr:uid="{A17EE2F4-1945-4C1D-B4D1-EA25462E7DC6}"/>
    <cellStyle name="Note 15" xfId="2374" xr:uid="{54F47362-5190-48DE-A1D7-842463BE2E6F}"/>
    <cellStyle name="Note 15 2" xfId="2375" xr:uid="{8BD219A0-3511-4C31-8148-96B3EA51E45C}"/>
    <cellStyle name="Note 15 2 2" xfId="6687" xr:uid="{9F37D4E9-A9E9-4D3B-8A76-05900E50E9B1}"/>
    <cellStyle name="Note 15 2 3" xfId="6688" xr:uid="{413E0FE5-BEB2-42DA-AF68-20FD0CCA80B6}"/>
    <cellStyle name="Note 15 2 4" xfId="6686" xr:uid="{D5F1155B-D2F1-448F-8248-9F2C83D20AB9}"/>
    <cellStyle name="Note 16" xfId="2376" xr:uid="{64A5813A-D6AC-4607-9B55-7BC3E3F46B6D}"/>
    <cellStyle name="Note 16 2" xfId="2377" xr:uid="{B6FB1E7C-2393-4637-90EA-621D015B8931}"/>
    <cellStyle name="Note 16 2 2" xfId="6690" xr:uid="{5B7C2034-737A-4C87-9CF4-1529978B6350}"/>
    <cellStyle name="Note 16 2 3" xfId="6691" xr:uid="{D632710A-E061-4B2A-A893-68FCA0829165}"/>
    <cellStyle name="Note 16 2 4" xfId="6689" xr:uid="{7F86F5BB-8707-4007-8C24-4CAF3310502B}"/>
    <cellStyle name="Note 17" xfId="2378" xr:uid="{C064EA93-698F-406C-AD1B-01007F32EAA2}"/>
    <cellStyle name="Note 17 2" xfId="2379" xr:uid="{D6B3CA93-FDFB-4C00-9989-0E86D3A41FE8}"/>
    <cellStyle name="Note 17 2 2" xfId="6693" xr:uid="{99835DFB-03AF-4F31-AE7B-259950A0F008}"/>
    <cellStyle name="Note 17 2 3" xfId="6694" xr:uid="{66CF8658-889B-43C5-AB7D-CEEAF5B7E505}"/>
    <cellStyle name="Note 17 2 4" xfId="6692" xr:uid="{527B3D7D-C7E3-4674-93E5-B9E863238362}"/>
    <cellStyle name="Note 18" xfId="2380" xr:uid="{C24EAC92-5167-4AAF-B42B-1EC7E1DEE258}"/>
    <cellStyle name="Note 18 2" xfId="2381" xr:uid="{DA677FAA-57A9-4D46-9DE0-DC9CB4171E52}"/>
    <cellStyle name="Note 18 2 2" xfId="6696" xr:uid="{254CA130-1303-422F-9255-9AD8E8D20F47}"/>
    <cellStyle name="Note 18 2 3" xfId="6697" xr:uid="{8EC41BCE-2D8E-4BBD-BAB7-35F43E729C20}"/>
    <cellStyle name="Note 18 2 4" xfId="6695" xr:uid="{A9E3FC56-9820-4BF5-8895-9C1612A3DB96}"/>
    <cellStyle name="Note 19" xfId="2382" xr:uid="{3D1BACC6-DC99-44A2-835A-C334D12CDEBF}"/>
    <cellStyle name="Note 19 2" xfId="2383" xr:uid="{FA2E2A82-A400-4195-A323-FA33FE5DAF04}"/>
    <cellStyle name="Note 19 2 2" xfId="6699" xr:uid="{2F08C92B-F412-4050-8E5F-50838E2C1FB7}"/>
    <cellStyle name="Note 19 2 3" xfId="6700" xr:uid="{61483731-4C06-4E0A-B7F0-C409B4E05E06}"/>
    <cellStyle name="Note 19 2 4" xfId="6698" xr:uid="{5171E8DB-1CF8-451A-8CD7-49D01B8C77DF}"/>
    <cellStyle name="Note 2" xfId="2384" xr:uid="{D1E4CEE1-DB89-4C2B-8C16-1002606ABEBA}"/>
    <cellStyle name="Note 2 10" xfId="3390" xr:uid="{5D43CB89-0C0A-4CD8-ABE1-7A087727B544}"/>
    <cellStyle name="Note 2 11" xfId="7741" xr:uid="{753A44D4-AF48-4D87-96D9-5C36D1D88811}"/>
    <cellStyle name="Note 2 2" xfId="2385" xr:uid="{921EF537-565A-44F8-8482-83BCC2619C01}"/>
    <cellStyle name="Note 2 2 2" xfId="2386" xr:uid="{46FA9886-00C5-4433-85E5-FE363C1A5801}"/>
    <cellStyle name="Note 2 2 2 2" xfId="2387" xr:uid="{7C75B7B1-0919-4E3C-931C-ADA2D71D554F}"/>
    <cellStyle name="Note 2 2 2 3" xfId="2388" xr:uid="{15F12930-4B06-4F87-82CD-0D6C8AE02B99}"/>
    <cellStyle name="Note 2 2 2 4" xfId="6701" xr:uid="{2F0A2A8C-EFB9-4E29-AC4B-3D124B1FED38}"/>
    <cellStyle name="Note 2 2 3" xfId="2389" xr:uid="{E09AF62B-035C-41C0-A1A9-FFC7F0529707}"/>
    <cellStyle name="Note 2 2 3 2" xfId="6702" xr:uid="{D9DD5465-2CE0-4ACE-A280-9F3C53A73E6E}"/>
    <cellStyle name="Note 2 2 4" xfId="2390" xr:uid="{6B3A1338-658D-4DCD-9AF6-3ADD109157CC}"/>
    <cellStyle name="Note 2 2 5" xfId="3426" xr:uid="{4AEF2DFD-071F-458E-95EA-5C08A3F2D30B}"/>
    <cellStyle name="Note 2 3" xfId="2391" xr:uid="{1CF71B39-C5A4-4AAE-80FC-662180119E0F}"/>
    <cellStyle name="Note 2 3 2" xfId="2392" xr:uid="{A567268D-C3FC-4979-8EC4-9EFE5E06DAF8}"/>
    <cellStyle name="Note 2 3 2 2" xfId="6703" xr:uid="{80D13C94-829C-4FC1-8A50-B0CBD589E7CC}"/>
    <cellStyle name="Note 2 3 3" xfId="2393" xr:uid="{0B4C916A-F5FC-4B8B-8030-C279339F270C}"/>
    <cellStyle name="Note 2 3 3 2" xfId="6704" xr:uid="{D8EDDC18-455B-4F56-A9E8-25D6DEBF759F}"/>
    <cellStyle name="Note 2 3 4" xfId="3468" xr:uid="{8767BFEF-F762-48B3-B649-BE016C774D6E}"/>
    <cellStyle name="Note 2 3 5" xfId="7772" xr:uid="{66C34ADA-A549-4184-99AD-6BED783E5E54}"/>
    <cellStyle name="Note 2 4" xfId="2394" xr:uid="{DC9C1370-3C9C-44A6-B7F2-C9CD6FA08780}"/>
    <cellStyle name="Note 2 4 2" xfId="2395" xr:uid="{97192991-0BE2-482F-896A-7905E2309157}"/>
    <cellStyle name="Note 2 4 2 2" xfId="6706" xr:uid="{64D63B3C-2EBC-4E4A-9AD7-B46181C70259}"/>
    <cellStyle name="Note 2 4 3" xfId="2396" xr:uid="{D21E9EFB-D13D-40BB-8D63-D499AC6F81EB}"/>
    <cellStyle name="Note 2 4 3 2" xfId="6707" xr:uid="{505C6F42-FC7C-462E-896F-C8C99E6C222D}"/>
    <cellStyle name="Note 2 4 4" xfId="6705" xr:uid="{9926AF2A-19C1-4D9D-93A6-591CB9CA8365}"/>
    <cellStyle name="Note 2 5" xfId="2397" xr:uid="{7481EADD-5AFB-4D57-BC85-C2F13FEF41D4}"/>
    <cellStyle name="Note 2 5 2" xfId="2398" xr:uid="{65CF0BA2-CC91-44E7-9E0B-BEFA64EEC9F6}"/>
    <cellStyle name="Note 2 5 2 2" xfId="6709" xr:uid="{61A9E172-E653-4908-8D81-A052C61BEE0F}"/>
    <cellStyle name="Note 2 5 3" xfId="2399" xr:uid="{135F5AEA-880D-48BB-BCAD-A8DB8F5CAE36}"/>
    <cellStyle name="Note 2 5 3 2" xfId="6710" xr:uid="{AA65071D-8420-4676-BE2B-5ECE75F9D5B6}"/>
    <cellStyle name="Note 2 5 4" xfId="6708" xr:uid="{6C93F3D8-8CC7-4C3E-8515-EDB898E99283}"/>
    <cellStyle name="Note 2 6" xfId="2400" xr:uid="{9267DC0F-42A9-4D76-BB66-CAE8444BCF02}"/>
    <cellStyle name="Note 2 6 2" xfId="6712" xr:uid="{EB1E359D-6665-40C1-B124-79ADEF3B8F16}"/>
    <cellStyle name="Note 2 6 3" xfId="6713" xr:uid="{D5B34CED-0DC2-421B-AEBF-FAD48557C93C}"/>
    <cellStyle name="Note 2 6 4" xfId="6711" xr:uid="{83C92DBF-1423-44CE-A9EF-6DD360081578}"/>
    <cellStyle name="Note 2 7" xfId="6714" xr:uid="{46D72515-628E-4EE4-B140-85E2075016BF}"/>
    <cellStyle name="Note 2 7 2" xfId="6715" xr:uid="{779D804B-CB1A-4EEF-B411-0490593410B1}"/>
    <cellStyle name="Note 2 7 3" xfId="6716" xr:uid="{86BE587F-9873-4EF5-9CB9-FAF00A63D71A}"/>
    <cellStyle name="Note 2 8" xfId="6717" xr:uid="{A79929DA-5E30-4B1D-A08C-41108CC7381B}"/>
    <cellStyle name="Note 2 8 2" xfId="6718" xr:uid="{CF2CE640-4904-4F4A-A0C8-0274DA7A0A69}"/>
    <cellStyle name="Note 2 8 3" xfId="6719" xr:uid="{7C29C6D7-3273-4C60-AAEB-FD990C702133}"/>
    <cellStyle name="Note 2 9" xfId="6720" xr:uid="{4E8919BE-B80B-43BA-BD8A-AE09971CFACB}"/>
    <cellStyle name="Note 2 9 2" xfId="6721" xr:uid="{41F4C1B8-3425-4A61-86EC-01DD0168904C}"/>
    <cellStyle name="Note 2 9 3" xfId="6722" xr:uid="{AB6EA8B3-4D2F-43A6-B641-ACA0AABF4E1A}"/>
    <cellStyle name="Note 20" xfId="2401" xr:uid="{8DC1E1C4-A353-4D28-9767-0A1448463CA6}"/>
    <cellStyle name="Note 20 2" xfId="2402" xr:uid="{823572EE-F456-4F46-91CC-FA87C05FB700}"/>
    <cellStyle name="Note 20 2 2" xfId="6724" xr:uid="{37FC57BD-45E8-4CC3-853A-CBD69ABF2B24}"/>
    <cellStyle name="Note 20 2 3" xfId="6725" xr:uid="{E2D05702-81A3-42C8-9434-6FA69F54D054}"/>
    <cellStyle name="Note 20 2 4" xfId="6723" xr:uid="{38A6943F-E060-4D11-8C8E-0DB6E2DA37E8}"/>
    <cellStyle name="Note 21" xfId="2403" xr:uid="{9A76776D-93B6-4B8B-9029-969B73FBC11C}"/>
    <cellStyle name="Note 21 2" xfId="2404" xr:uid="{183D4A4C-F667-4CD8-8A67-A10F8E468B28}"/>
    <cellStyle name="Note 21 2 2" xfId="6727" xr:uid="{50E11072-AFFA-4769-B040-E540AD7E38E3}"/>
    <cellStyle name="Note 21 2 3" xfId="6728" xr:uid="{3659691F-870A-4D60-A322-CF59C9FD21C9}"/>
    <cellStyle name="Note 21 2 4" xfId="6726" xr:uid="{54682B81-2ED8-4993-A81D-C45F0A1F8CA7}"/>
    <cellStyle name="Note 22" xfId="2405" xr:uid="{41C4CA2F-9D49-4A7B-B38F-351FE5605F7D}"/>
    <cellStyle name="Note 22 2" xfId="2406" xr:uid="{7AB23BCB-CBD6-4E38-88B0-352F81E0BEAC}"/>
    <cellStyle name="Note 23" xfId="2407" xr:uid="{DF41FD60-B2D3-4D57-B369-830E4B3A32CF}"/>
    <cellStyle name="Note 23 2" xfId="2408" xr:uid="{B26D4AB9-882E-438E-8DC0-11627A737171}"/>
    <cellStyle name="Note 24" xfId="2409" xr:uid="{2B251ACF-195C-4758-A944-AA08B205A68D}"/>
    <cellStyle name="Note 24 2" xfId="2410" xr:uid="{E9315D45-E451-466C-94D4-B6555AFE8C9E}"/>
    <cellStyle name="Note 25" xfId="2411" xr:uid="{67B7C0EB-B689-424A-ADC9-5AA025C20635}"/>
    <cellStyle name="Note 26" xfId="2412" xr:uid="{7CA7BAB1-BC4D-4AE1-8F8E-99787E86D6C2}"/>
    <cellStyle name="Note 26 2" xfId="7671" xr:uid="{F93BAFFA-9F1E-4002-9481-B6678D6977DA}"/>
    <cellStyle name="Note 27" xfId="3303" xr:uid="{CC7AFA8C-9F2A-4CC4-A5EE-387FACF4265C}"/>
    <cellStyle name="Note 28" xfId="7711" xr:uid="{28712A97-BCFC-4877-8549-5F24EFB9D56E}"/>
    <cellStyle name="Note 3" xfId="2413" xr:uid="{179C6B28-C107-4A1F-9F07-2EEA88E3129F}"/>
    <cellStyle name="Note 3 10" xfId="3400" xr:uid="{0EB4D9B3-F5E0-4557-91BD-2DCA5421F871}"/>
    <cellStyle name="Note 3 11" xfId="7746" xr:uid="{532497FF-61E7-47CB-89A1-499B25568F86}"/>
    <cellStyle name="Note 3 2" xfId="2414" xr:uid="{70198312-611C-4DCC-93FC-588FF2E40279}"/>
    <cellStyle name="Note 3 2 2" xfId="2415" xr:uid="{EA7978C1-3A3B-48F5-8836-455425D8BE96}"/>
    <cellStyle name="Note 3 2 2 2" xfId="6730" xr:uid="{204A3DF0-4BE7-42CD-A56C-48C8753C720B}"/>
    <cellStyle name="Note 3 2 3" xfId="2416" xr:uid="{A3543249-077C-49D6-B1EE-A21E220ED588}"/>
    <cellStyle name="Note 3 2 3 2" xfId="6731" xr:uid="{0A512612-A327-4DC7-BF40-61FF392AA6AA}"/>
    <cellStyle name="Note 3 2 4" xfId="6729" xr:uid="{C71AE533-49CE-4971-9269-8FB8D4C4BCA8}"/>
    <cellStyle name="Note 3 3" xfId="2417" xr:uid="{6608302C-104D-441A-9D16-23851A26B1E6}"/>
    <cellStyle name="Note 3 3 2" xfId="2418" xr:uid="{C05929B4-7884-48BE-9F36-BB199315B088}"/>
    <cellStyle name="Note 3 3 2 2" xfId="6733" xr:uid="{9D4DBAC8-B4C5-4604-A9C4-29AA571D4092}"/>
    <cellStyle name="Note 3 3 3" xfId="2419" xr:uid="{B31F7A9F-5C6C-4F06-A22F-1D34FED9A22C}"/>
    <cellStyle name="Note 3 3 3 2" xfId="6734" xr:uid="{C91C26E3-8065-417C-8723-81936127B475}"/>
    <cellStyle name="Note 3 3 4" xfId="6732" xr:uid="{67F7B5B9-897E-4867-A48A-456CFD473E5D}"/>
    <cellStyle name="Note 3 4" xfId="2420" xr:uid="{F0FDE1AC-E66A-445C-8CFB-877E5CD3E1DC}"/>
    <cellStyle name="Note 3 4 2" xfId="2421" xr:uid="{C4B72B1C-5C56-41C7-9213-C46893D03031}"/>
    <cellStyle name="Note 3 4 2 2" xfId="6736" xr:uid="{6A4DE653-3873-4A57-A60C-C07C650A374A}"/>
    <cellStyle name="Note 3 4 3" xfId="2422" xr:uid="{D79B1977-5BB8-4E2E-A5BD-E6E2F9E10D2F}"/>
    <cellStyle name="Note 3 4 3 2" xfId="6737" xr:uid="{F7BA790F-74AF-4D1D-858A-DE4A9F063D8B}"/>
    <cellStyle name="Note 3 4 4" xfId="6735" xr:uid="{12485D19-01FD-4336-A54C-8D9DB123FD15}"/>
    <cellStyle name="Note 3 5" xfId="2423" xr:uid="{472B1A5B-BD47-4F89-A817-EC0AAB4BF571}"/>
    <cellStyle name="Note 3 5 2" xfId="2424" xr:uid="{B6E705AB-F528-4E3C-9D40-40C0D5D8050D}"/>
    <cellStyle name="Note 3 5 2 2" xfId="6739" xr:uid="{3E186924-3A22-498B-ABA8-E738EF39F689}"/>
    <cellStyle name="Note 3 5 3" xfId="2425" xr:uid="{7EB7E8CF-17F4-4FEF-BC22-A0917F23FFF1}"/>
    <cellStyle name="Note 3 5 3 2" xfId="6740" xr:uid="{81427EA1-935B-4479-A7FD-CD7923854A2E}"/>
    <cellStyle name="Note 3 5 4" xfId="6738" xr:uid="{312E9787-7BDD-46D0-9289-8834F501F1CF}"/>
    <cellStyle name="Note 3 6" xfId="2426" xr:uid="{85121C90-AEEC-463D-ACF9-F0F14F50FAB2}"/>
    <cellStyle name="Note 3 6 2" xfId="6742" xr:uid="{8EFED397-8766-480C-8117-1FBAFD9C01D2}"/>
    <cellStyle name="Note 3 6 3" xfId="6743" xr:uid="{86564563-4B29-4FB4-B747-FF3DEB43A966}"/>
    <cellStyle name="Note 3 6 4" xfId="6741" xr:uid="{7039775B-96F5-4F5F-A1A6-41BCDF1C2F39}"/>
    <cellStyle name="Note 3 7" xfId="6744" xr:uid="{D13227F0-F35E-4BFA-94B5-7F90C55618FB}"/>
    <cellStyle name="Note 3 7 2" xfId="6745" xr:uid="{04B422CB-572F-440C-A31E-DD9351792D35}"/>
    <cellStyle name="Note 3 7 3" xfId="6746" xr:uid="{0EAAD17F-7283-419E-8177-546290B69470}"/>
    <cellStyle name="Note 3 8" xfId="6747" xr:uid="{1592174B-688D-497A-BE7C-79B00DC5BEFF}"/>
    <cellStyle name="Note 3 8 2" xfId="6748" xr:uid="{E63CD622-3F84-41C7-9BEF-0A1C7BDFE86D}"/>
    <cellStyle name="Note 3 8 3" xfId="6749" xr:uid="{4EBB0D38-7D3F-4860-9D34-88C3A42A9BBF}"/>
    <cellStyle name="Note 3 9" xfId="6750" xr:uid="{90AB6395-66BB-42D7-84A9-E338146ACA04}"/>
    <cellStyle name="Note 3 9 2" xfId="6751" xr:uid="{F3E7BC72-3A08-41BF-AF33-69AB7B9A21AE}"/>
    <cellStyle name="Note 3 9 3" xfId="6752" xr:uid="{D469234A-9691-4A65-B63F-0585FE7F84FB}"/>
    <cellStyle name="Note 4" xfId="2427" xr:uid="{0F01CCE3-0085-4F77-AE00-A0DEF0D6B98C}"/>
    <cellStyle name="Note 4 10" xfId="6753" xr:uid="{F86AABF3-F8FB-4A14-8C7A-C192FBF02673}"/>
    <cellStyle name="Note 4 2" xfId="2428" xr:uid="{97E96DDB-B398-47B0-AA3D-4AA18424C36D}"/>
    <cellStyle name="Note 4 2 2" xfId="2429" xr:uid="{14AB3964-FC68-48E0-AC21-99B5BCD1A877}"/>
    <cellStyle name="Note 4 2 2 2" xfId="6755" xr:uid="{9DD690B4-C378-460E-B57E-5206C5D5D94C}"/>
    <cellStyle name="Note 4 2 3" xfId="2430" xr:uid="{CA93AA7F-9371-4899-9074-D30768F851BE}"/>
    <cellStyle name="Note 4 2 3 2" xfId="6756" xr:uid="{BCADB40C-D6AA-4D1D-A054-6DB9DB3D3FA7}"/>
    <cellStyle name="Note 4 2 4" xfId="6754" xr:uid="{01ADCD41-4060-48E8-A246-1133DC366480}"/>
    <cellStyle name="Note 4 3" xfId="2431" xr:uid="{27EC9FC8-C9E2-4DCB-8DC4-425F2FB28091}"/>
    <cellStyle name="Note 4 3 2" xfId="2432" xr:uid="{56E34556-5DC3-4F6E-97B5-8DF1CBD88E51}"/>
    <cellStyle name="Note 4 3 2 2" xfId="6758" xr:uid="{E577820C-C620-4FAD-BBE5-5B358C657EE6}"/>
    <cellStyle name="Note 4 3 3" xfId="2433" xr:uid="{C31F93E7-C79F-43FC-94A4-88EAE6265B0E}"/>
    <cellStyle name="Note 4 3 3 2" xfId="6759" xr:uid="{FBAE168B-A360-44B7-B06D-C815F8DFF25D}"/>
    <cellStyle name="Note 4 3 4" xfId="6757" xr:uid="{A5FD99AF-112B-47C9-85E0-C2F5406EDB09}"/>
    <cellStyle name="Note 4 4" xfId="2434" xr:uid="{F8A6892F-C000-4BEB-9A8E-D3944DCA9AC5}"/>
    <cellStyle name="Note 4 4 2" xfId="2435" xr:uid="{A83BB914-86FF-4FFF-8198-7FFB791D5284}"/>
    <cellStyle name="Note 4 4 2 2" xfId="6761" xr:uid="{C96C0384-353B-4E3F-B612-F7DEED9337DE}"/>
    <cellStyle name="Note 4 4 3" xfId="2436" xr:uid="{85297E30-956B-4583-A8C9-2647917F2B26}"/>
    <cellStyle name="Note 4 4 3 2" xfId="6762" xr:uid="{77E9BB91-D62C-4DCC-A9D9-3C98D78C3D72}"/>
    <cellStyle name="Note 4 4 4" xfId="6760" xr:uid="{D089778E-5083-44F8-BE87-EC580F2BC5DC}"/>
    <cellStyle name="Note 4 5" xfId="2437" xr:uid="{9647BF4B-0340-424B-A494-1D55FC20EF74}"/>
    <cellStyle name="Note 4 5 2" xfId="2438" xr:uid="{A6C59681-C62B-4FE3-8C67-FE98824B51DA}"/>
    <cellStyle name="Note 4 5 2 2" xfId="6764" xr:uid="{9CF97972-A33C-4D89-8F2B-392E80DA1598}"/>
    <cellStyle name="Note 4 5 3" xfId="2439" xr:uid="{EFFC130D-C8B5-4292-9046-3A2955A8BBD1}"/>
    <cellStyle name="Note 4 5 3 2" xfId="6765" xr:uid="{DDED87CA-8658-475A-867F-BB1565CFBEE4}"/>
    <cellStyle name="Note 4 5 4" xfId="6763" xr:uid="{E0AA7C00-6108-40DE-860E-B7CF7DE7E386}"/>
    <cellStyle name="Note 4 6" xfId="2440" xr:uid="{013F04E5-250C-45B0-8ABB-CED129D2A7E8}"/>
    <cellStyle name="Note 4 6 2" xfId="6767" xr:uid="{3A6DFED4-533E-4135-A001-23F16086AD62}"/>
    <cellStyle name="Note 4 6 3" xfId="6768" xr:uid="{7130001C-C1BA-4BCF-9581-00C504A629BB}"/>
    <cellStyle name="Note 4 6 4" xfId="6766" xr:uid="{D9232A76-C4D3-48EE-8B93-5FF91E19FD83}"/>
    <cellStyle name="Note 4 7" xfId="6769" xr:uid="{CA10D713-E923-4840-94CB-1D88B52AA7BC}"/>
    <cellStyle name="Note 4 7 2" xfId="6770" xr:uid="{C63BE9EE-B466-425D-AB96-A5339E2678A2}"/>
    <cellStyle name="Note 4 7 3" xfId="6771" xr:uid="{9ED67644-E7E9-4DF9-815A-25634C7300A8}"/>
    <cellStyle name="Note 4 8" xfId="6772" xr:uid="{21C4705E-E8F7-476D-85C3-967F6B06AA1B}"/>
    <cellStyle name="Note 4 8 2" xfId="6773" xr:uid="{C9112B19-5D77-441B-A578-1008404163D6}"/>
    <cellStyle name="Note 4 8 3" xfId="6774" xr:uid="{CF70A0EF-0844-4D00-958A-41A466648E6E}"/>
    <cellStyle name="Note 4 9" xfId="6775" xr:uid="{A175075F-2685-409A-9CAA-70E440B33D0D}"/>
    <cellStyle name="Note 4 9 2" xfId="6776" xr:uid="{B54156BB-5BAA-4E87-9E9F-203AA280158D}"/>
    <cellStyle name="Note 4 9 3" xfId="6777" xr:uid="{0CC3B53C-5793-410E-8B46-0DDA80D36F2C}"/>
    <cellStyle name="Note 5" xfId="2441" xr:uid="{053C2B61-68C6-4355-863C-A3A0C1D4F644}"/>
    <cellStyle name="Note 5 10" xfId="6778" xr:uid="{207932D0-C868-4D15-9874-2545D6AFF920}"/>
    <cellStyle name="Note 5 2" xfId="2442" xr:uid="{E766FAD6-FF44-4966-8D1C-12A4C91F640A}"/>
    <cellStyle name="Note 5 2 2" xfId="2443" xr:uid="{4239C2C8-4C76-4392-8D31-43B6EB642575}"/>
    <cellStyle name="Note 5 2 2 2" xfId="6780" xr:uid="{5ADEDAD3-9404-4E1F-B0C1-FAD6E3A5D00D}"/>
    <cellStyle name="Note 5 2 3" xfId="2444" xr:uid="{F65096BB-08CD-4E07-92E9-48E92E6274CA}"/>
    <cellStyle name="Note 5 2 3 2" xfId="6781" xr:uid="{ED94657F-F19E-4805-A50E-D757FD4C3021}"/>
    <cellStyle name="Note 5 2 4" xfId="6779" xr:uid="{5B0C05E2-0D85-4F43-85A5-6C3CDC6F6E59}"/>
    <cellStyle name="Note 5 3" xfId="2445" xr:uid="{95A576C0-9858-4F26-BDEE-44B6D9F914BF}"/>
    <cellStyle name="Note 5 3 2" xfId="2446" xr:uid="{72E5A9B3-DB62-4DEE-B66B-D4B83C9BEA66}"/>
    <cellStyle name="Note 5 3 2 2" xfId="6783" xr:uid="{FF9E7F82-B7DF-44DB-9CF5-0EEF8B1980C7}"/>
    <cellStyle name="Note 5 3 3" xfId="2447" xr:uid="{F905AFE9-9578-4BAA-B1D4-E112580CC72B}"/>
    <cellStyle name="Note 5 3 3 2" xfId="6784" xr:uid="{7CF60276-3E6D-4F1F-812B-4400EE547396}"/>
    <cellStyle name="Note 5 3 4" xfId="6782" xr:uid="{E89C905C-2379-4106-9E51-A358E92045BA}"/>
    <cellStyle name="Note 5 4" xfId="2448" xr:uid="{5E7F9751-932A-462F-9887-D0A9F5EBD4ED}"/>
    <cellStyle name="Note 5 4 2" xfId="2449" xr:uid="{24774AC9-97BD-44CC-B5B0-8BDB82E3D548}"/>
    <cellStyle name="Note 5 4 2 2" xfId="6786" xr:uid="{77AC8D89-5A5D-4BB5-9126-3020B720D9E2}"/>
    <cellStyle name="Note 5 4 3" xfId="2450" xr:uid="{19268EC2-B044-4FD2-B633-1B4DBB1878E1}"/>
    <cellStyle name="Note 5 4 3 2" xfId="6787" xr:uid="{28A2FA3D-D2D2-4997-9323-0881FA5F4B1B}"/>
    <cellStyle name="Note 5 4 4" xfId="6785" xr:uid="{8E213ECA-E20F-4FD3-9C80-D38BA80CCE94}"/>
    <cellStyle name="Note 5 5" xfId="2451" xr:uid="{41677917-7644-497D-BEBA-0D921B60FC9A}"/>
    <cellStyle name="Note 5 5 2" xfId="2452" xr:uid="{91D172E5-66C0-4923-AD80-80DAFF50EAB9}"/>
    <cellStyle name="Note 5 5 2 2" xfId="6789" xr:uid="{75E61E6A-A0DB-4C19-B87C-3D735C20EEA7}"/>
    <cellStyle name="Note 5 5 3" xfId="2453" xr:uid="{B4D4EEDC-139E-45AE-BEF5-222D720299A8}"/>
    <cellStyle name="Note 5 5 3 2" xfId="6790" xr:uid="{00C773A6-BAF8-423E-9DF8-9BA5AAD93B8D}"/>
    <cellStyle name="Note 5 5 4" xfId="6788" xr:uid="{84D8D937-B1DF-4966-905F-7AE001769F5B}"/>
    <cellStyle name="Note 5 6" xfId="2454" xr:uid="{E7F2A609-C9CF-46B6-AC3D-3F0F2F16537F}"/>
    <cellStyle name="Note 5 6 2" xfId="6792" xr:uid="{04A2F34E-DC48-4BFE-AE63-D303ABA4D13B}"/>
    <cellStyle name="Note 5 6 3" xfId="6793" xr:uid="{5C78F4F5-D1FC-432B-8DA2-BF4F37DD8629}"/>
    <cellStyle name="Note 5 6 4" xfId="6791" xr:uid="{5822AD26-00C0-4553-8ABD-986C0BDCA2C8}"/>
    <cellStyle name="Note 5 7" xfId="6794" xr:uid="{3A6F71DE-F4F2-48AE-8C42-E6ED778A6E88}"/>
    <cellStyle name="Note 5 7 2" xfId="6795" xr:uid="{AC0D71C3-40C9-489A-BE95-3AEEBA1ECF17}"/>
    <cellStyle name="Note 5 7 3" xfId="6796" xr:uid="{1B1EAE28-1D47-4041-A861-046267149FB1}"/>
    <cellStyle name="Note 5 8" xfId="6797" xr:uid="{0D3C430D-23F3-4AA9-8AFC-0C4098922355}"/>
    <cellStyle name="Note 5 8 2" xfId="6798" xr:uid="{129C7980-8B2F-4A86-99C5-B423EC00667B}"/>
    <cellStyle name="Note 5 8 3" xfId="6799" xr:uid="{A07D4119-4F8E-4DC8-90F3-C7A8C7531C62}"/>
    <cellStyle name="Note 5 9" xfId="6800" xr:uid="{183F2416-9C0D-4D51-AEC0-8606AD00BE1E}"/>
    <cellStyle name="Note 5 9 2" xfId="6801" xr:uid="{670244AE-D3D5-4739-A43E-E514A020B76A}"/>
    <cellStyle name="Note 5 9 3" xfId="6802" xr:uid="{EAA595C2-9E5A-4B54-A804-59C4F7556767}"/>
    <cellStyle name="Note 6" xfId="2455" xr:uid="{648F27E8-6424-439D-A2A2-4E92826E87F8}"/>
    <cellStyle name="Note 6 2" xfId="2456" xr:uid="{2A8B6535-D9CB-45C8-8502-54D81A48BB6F}"/>
    <cellStyle name="Note 6 2 2" xfId="2457" xr:uid="{B227BA7E-FF96-4E98-BD8D-440128237CFF}"/>
    <cellStyle name="Note 6 2 2 2" xfId="6804" xr:uid="{255475AD-5FA4-4F8B-9BDE-854B1FA97543}"/>
    <cellStyle name="Note 6 2 3" xfId="2458" xr:uid="{A66FDD17-32CC-4C3D-9959-F42987B7128D}"/>
    <cellStyle name="Note 6 2 3 2" xfId="6805" xr:uid="{3E051F3C-B126-4A1E-9A21-8196B725D97D}"/>
    <cellStyle name="Note 6 2 4" xfId="6803" xr:uid="{4E124CE7-08F8-4D85-8961-DB2997690C86}"/>
    <cellStyle name="Note 6 3" xfId="2459" xr:uid="{5EF4F190-7CEE-404A-B549-1F82AD145F4B}"/>
    <cellStyle name="Note 6 3 2" xfId="2460" xr:uid="{8E0D7D3B-2FF9-47FF-8BF4-DF4578510606}"/>
    <cellStyle name="Note 6 3 2 2" xfId="6807" xr:uid="{870BD1CC-7B4E-430A-9055-5039A5C1F806}"/>
    <cellStyle name="Note 6 3 3" xfId="2461" xr:uid="{0C558646-6C1E-4148-B517-0ED86988153B}"/>
    <cellStyle name="Note 6 3 3 2" xfId="6808" xr:uid="{76E847AC-B979-4AFB-B476-1AAD554CB2B4}"/>
    <cellStyle name="Note 6 3 4" xfId="6806" xr:uid="{9F2727F8-F317-416A-903E-35CCBC2BF9D3}"/>
    <cellStyle name="Note 6 4" xfId="2462" xr:uid="{A173D1FA-EA63-4977-AAF7-AE4EBFD48133}"/>
    <cellStyle name="Note 6 4 2" xfId="2463" xr:uid="{3E00646C-E088-4E41-BED5-0D92559CCCE3}"/>
    <cellStyle name="Note 6 4 2 2" xfId="6810" xr:uid="{D74C6380-EED1-42A8-91DB-10CC4C002F57}"/>
    <cellStyle name="Note 6 4 3" xfId="2464" xr:uid="{DA51A5BD-E464-4995-BCD8-6740D9D0E2CF}"/>
    <cellStyle name="Note 6 4 3 2" xfId="6811" xr:uid="{7417E3AA-EC50-4407-B968-EB042F959C3B}"/>
    <cellStyle name="Note 6 4 4" xfId="6809" xr:uid="{D3273509-3D4E-40F8-B72C-0633EB46AD4C}"/>
    <cellStyle name="Note 6 5" xfId="2465" xr:uid="{AD116516-EE99-4E8D-8E2D-E4BEDD80058D}"/>
    <cellStyle name="Note 6 5 2" xfId="2466" xr:uid="{0FA88917-4306-4D65-80FA-2C726E77BA20}"/>
    <cellStyle name="Note 6 5 2 2" xfId="6813" xr:uid="{9D470DB4-91B2-4BD1-BC10-C77A538FAD0A}"/>
    <cellStyle name="Note 6 5 3" xfId="2467" xr:uid="{A4891DA9-1E86-4172-9F79-9817D6EF2695}"/>
    <cellStyle name="Note 6 5 3 2" xfId="6814" xr:uid="{CB96353C-7B99-4574-B46B-A10BC82F60BC}"/>
    <cellStyle name="Note 6 5 4" xfId="6812" xr:uid="{2EC42504-9CB4-40E0-9594-BC69852D1542}"/>
    <cellStyle name="Note 6 6" xfId="2468" xr:uid="{2CCA4D61-79B4-48F4-8B21-0FEC87A64F85}"/>
    <cellStyle name="Note 6 6 2" xfId="6816" xr:uid="{0828BC8C-17B7-4A92-9F7F-86F513EB7EA8}"/>
    <cellStyle name="Note 6 6 3" xfId="6817" xr:uid="{1488D4D4-1DB4-4D30-A426-72BB3052BC06}"/>
    <cellStyle name="Note 6 6 4" xfId="6815" xr:uid="{1A5CC3E9-F585-4833-9628-E21E366E7FC3}"/>
    <cellStyle name="Note 6 7" xfId="6818" xr:uid="{2886A3B5-0D4A-459D-9EA9-464BF125C7B7}"/>
    <cellStyle name="Note 6 7 2" xfId="6819" xr:uid="{E80362EF-B3C7-4071-B49A-F24634E1543C}"/>
    <cellStyle name="Note 6 7 3" xfId="6820" xr:uid="{46EB2750-1F5C-44DD-9A96-D58ED2448E66}"/>
    <cellStyle name="Note 6 8" xfId="6821" xr:uid="{6D31E6A6-6854-45BA-A22F-135BF90284DB}"/>
    <cellStyle name="Note 6 8 2" xfId="6822" xr:uid="{E6212203-883D-4A27-932C-D01F20FF3C06}"/>
    <cellStyle name="Note 6 8 3" xfId="6823" xr:uid="{10F216AD-19B2-46AD-9EEB-A4E6C1690383}"/>
    <cellStyle name="Note 6 9" xfId="6824" xr:uid="{6EA5E82E-676E-4E82-8D8F-204763A3D4C2}"/>
    <cellStyle name="Note 6 9 2" xfId="6825" xr:uid="{9D1B4DC6-35D8-4432-A28A-482B30CECE02}"/>
    <cellStyle name="Note 6 9 3" xfId="6826" xr:uid="{43349DCD-71AF-4DC1-B519-40C0838EEF5B}"/>
    <cellStyle name="Note 7" xfId="2469" xr:uid="{0EB2E8D7-E52E-4D41-A0B3-34B53DE84159}"/>
    <cellStyle name="Note 7 2" xfId="2470" xr:uid="{B95B991D-0BA5-48D0-A2CA-E34D90FEA4CA}"/>
    <cellStyle name="Note 7 2 2" xfId="2471" xr:uid="{2FE76993-3D97-40F3-B536-0B6CD009A03F}"/>
    <cellStyle name="Note 7 2 2 2" xfId="6828" xr:uid="{352C9CB8-68DE-4B63-B621-D6D590ECE0BE}"/>
    <cellStyle name="Note 7 2 3" xfId="2472" xr:uid="{47A335A1-A372-41FD-A49C-38B8CCBC36A1}"/>
    <cellStyle name="Note 7 2 3 2" xfId="6829" xr:uid="{C415B321-2F33-47AA-AD5C-B9E38F0FA6D2}"/>
    <cellStyle name="Note 7 2 4" xfId="6827" xr:uid="{472A8743-30AC-44B8-ADF1-E0088B17717A}"/>
    <cellStyle name="Note 7 3" xfId="2473" xr:uid="{825D22B1-1C53-4135-8862-FB9E6F5C5641}"/>
    <cellStyle name="Note 7 3 2" xfId="2474" xr:uid="{30FCDC98-19D6-47C5-B3FF-A49A668B8691}"/>
    <cellStyle name="Note 7 3 2 2" xfId="6831" xr:uid="{34941FE3-8208-40B2-9079-1CD8DAB014D7}"/>
    <cellStyle name="Note 7 3 3" xfId="2475" xr:uid="{9AC16B49-533C-4D74-97E0-82300A074729}"/>
    <cellStyle name="Note 7 3 3 2" xfId="6832" xr:uid="{76EF1AD1-7F2B-4C4C-BB1E-8966D11286C5}"/>
    <cellStyle name="Note 7 3 4" xfId="6830" xr:uid="{C73C4021-FCD8-4AED-AC4C-1C5BEF00841B}"/>
    <cellStyle name="Note 7 4" xfId="2476" xr:uid="{D4969B52-0E0D-41E5-87D0-BE9C1BBAE8CA}"/>
    <cellStyle name="Note 7 4 2" xfId="2477" xr:uid="{4E8A3CF1-8D09-490F-BE86-4D50ED3FF3B0}"/>
    <cellStyle name="Note 7 4 2 2" xfId="6834" xr:uid="{A1689A1F-DDA4-459B-AB9F-F3C10A24BB41}"/>
    <cellStyle name="Note 7 4 3" xfId="2478" xr:uid="{52D4C9FA-4A73-4101-8792-38A228CF5071}"/>
    <cellStyle name="Note 7 4 3 2" xfId="6835" xr:uid="{972C4C7C-D3AF-4157-B0C8-2E7D5703FB8E}"/>
    <cellStyle name="Note 7 4 4" xfId="6833" xr:uid="{D137F9D1-09E7-46F2-B58B-45F14B25D4B6}"/>
    <cellStyle name="Note 7 5" xfId="2479" xr:uid="{4F8E7A51-BB22-44D8-8F3F-4FBAB49EA6AB}"/>
    <cellStyle name="Note 7 5 2" xfId="2480" xr:uid="{2D3B1FB1-3CD9-4613-A045-F7CFF3AFBA43}"/>
    <cellStyle name="Note 7 5 2 2" xfId="6837" xr:uid="{8A79AA55-DC12-4AA7-AF0B-9B4D37541D53}"/>
    <cellStyle name="Note 7 5 3" xfId="2481" xr:uid="{8DD9E263-E40B-454F-A574-8F201CFDD938}"/>
    <cellStyle name="Note 7 5 3 2" xfId="6838" xr:uid="{C07299CC-FB03-4F85-8872-5E03B5897AD8}"/>
    <cellStyle name="Note 7 5 4" xfId="6836" xr:uid="{DAE140F9-B9DF-4076-8142-0DC7CA116A3B}"/>
    <cellStyle name="Note 7 6" xfId="2482" xr:uid="{5B914786-3AB7-4568-BF6E-CB2738555F68}"/>
    <cellStyle name="Note 7 6 2" xfId="6840" xr:uid="{C1495D06-DEB6-4490-B3D7-001A9E57CE15}"/>
    <cellStyle name="Note 7 6 3" xfId="6841" xr:uid="{9C4C3B2A-9AF9-4E66-B72E-1A2D1F8A9E80}"/>
    <cellStyle name="Note 7 6 4" xfId="6839" xr:uid="{E1DF33F8-05E8-45A8-BCDA-8ADBAD0846D8}"/>
    <cellStyle name="Note 7 7" xfId="6842" xr:uid="{C73E3E49-9610-4E61-AB67-7214CCA282FC}"/>
    <cellStyle name="Note 7 7 2" xfId="6843" xr:uid="{BC0218CD-729C-4E4A-A715-87165DF99C89}"/>
    <cellStyle name="Note 7 7 3" xfId="6844" xr:uid="{FA915E8D-7EE7-45E1-B630-DC82EBDBDBC7}"/>
    <cellStyle name="Note 7 8" xfId="6845" xr:uid="{B73B8DF7-EBC6-43E7-8425-8C09F14D93B8}"/>
    <cellStyle name="Note 7 8 2" xfId="6846" xr:uid="{794D9FBC-F5CB-447B-8686-721347D87DB5}"/>
    <cellStyle name="Note 7 8 3" xfId="6847" xr:uid="{144ED7A0-3529-4E8D-B5D7-EA65B8337A96}"/>
    <cellStyle name="Note 7 9" xfId="6848" xr:uid="{044B7801-E873-425F-A3B5-FBA172BC9607}"/>
    <cellStyle name="Note 7 9 2" xfId="6849" xr:uid="{051D5949-25C5-4DD7-A332-02B18AB745D7}"/>
    <cellStyle name="Note 7 9 3" xfId="6850" xr:uid="{D9D0D192-C85D-4338-9A5D-5DBA2156BD2B}"/>
    <cellStyle name="Note 8" xfId="2483" xr:uid="{D550453A-4185-4843-87DD-E16C7419ED0A}"/>
    <cellStyle name="Note 8 2" xfId="2484" xr:uid="{8D17F84E-BDCF-46CF-99E5-14F5CBF9D021}"/>
    <cellStyle name="Note 8 2 2" xfId="2485" xr:uid="{A9416F65-240B-455B-B027-6027D2560738}"/>
    <cellStyle name="Note 8 2 2 2" xfId="6852" xr:uid="{F5FBAE41-C22E-4A24-9DFC-4BB580B5B789}"/>
    <cellStyle name="Note 8 2 3" xfId="2486" xr:uid="{CF5A1752-8BD8-4048-B5B3-E1A7FA98449B}"/>
    <cellStyle name="Note 8 2 3 2" xfId="6853" xr:uid="{A00C0590-9766-4B31-8F53-ABDCAF3ACFD9}"/>
    <cellStyle name="Note 8 2 4" xfId="6851" xr:uid="{F206D232-F8AE-4582-9276-14F26CBC4861}"/>
    <cellStyle name="Note 8 3" xfId="2487" xr:uid="{04FB37A9-4026-4C90-A4CE-751DD1DE47FB}"/>
    <cellStyle name="Note 8 3 2" xfId="2488" xr:uid="{89EF006C-99DA-4EE5-948E-F6F80014B0A8}"/>
    <cellStyle name="Note 8 3 2 2" xfId="6855" xr:uid="{714396A1-6540-4985-9229-9B42F7F06E4A}"/>
    <cellStyle name="Note 8 3 3" xfId="2489" xr:uid="{1C533C37-5762-449E-8EFB-79D62A45ABC3}"/>
    <cellStyle name="Note 8 3 3 2" xfId="6856" xr:uid="{34A1BE89-B760-42B9-8060-1562D6FA2DE1}"/>
    <cellStyle name="Note 8 3 4" xfId="6854" xr:uid="{FD337659-E83A-49ED-B301-821A942266CF}"/>
    <cellStyle name="Note 8 4" xfId="2490" xr:uid="{1716BFC6-B31D-4AEB-9358-983D4464856A}"/>
    <cellStyle name="Note 8 4 2" xfId="2491" xr:uid="{5832AE58-72F3-4D45-AB19-D871906636E3}"/>
    <cellStyle name="Note 8 4 2 2" xfId="6858" xr:uid="{C06F520C-5893-4520-90C9-96C76A874FB7}"/>
    <cellStyle name="Note 8 4 3" xfId="2492" xr:uid="{4292925A-68D4-413E-9579-4CF0A6EA8446}"/>
    <cellStyle name="Note 8 4 3 2" xfId="6859" xr:uid="{EA8D7369-6449-4BDC-86AC-4DE490068F28}"/>
    <cellStyle name="Note 8 4 4" xfId="6857" xr:uid="{567BF4C4-9C7A-42D7-8178-7A5D1A9370D7}"/>
    <cellStyle name="Note 8 5" xfId="2493" xr:uid="{3F304F4A-3CAF-48E6-B075-D063A6157F15}"/>
    <cellStyle name="Note 8 5 2" xfId="2494" xr:uid="{6BC1347D-F498-4A1B-8AED-E321CA3220BD}"/>
    <cellStyle name="Note 8 5 2 2" xfId="6861" xr:uid="{552B1CAB-CD92-47D8-8B32-2791E5610339}"/>
    <cellStyle name="Note 8 5 3" xfId="2495" xr:uid="{3EECA70C-C8AF-4B56-A688-E790E762FC87}"/>
    <cellStyle name="Note 8 5 3 2" xfId="6862" xr:uid="{3E3A2A80-330A-42A9-A440-69214214D294}"/>
    <cellStyle name="Note 8 5 4" xfId="6860" xr:uid="{9E008F46-1914-4C69-A6F6-815A12FDE1A2}"/>
    <cellStyle name="Note 8 6" xfId="2496" xr:uid="{3C9AEA51-AB9C-4DBF-B293-70CCA444A4E7}"/>
    <cellStyle name="Note 8 6 2" xfId="6864" xr:uid="{387938CB-A27C-4977-84E4-251319465177}"/>
    <cellStyle name="Note 8 6 3" xfId="6865" xr:uid="{17EE45AB-7B91-4C6C-BFD7-77912F53B9A7}"/>
    <cellStyle name="Note 8 6 4" xfId="6863" xr:uid="{8B287CAE-7D1D-4B36-92CC-D118913A93CD}"/>
    <cellStyle name="Note 8 7" xfId="6866" xr:uid="{6D36A5F6-DA77-4300-B656-A12BD850AF93}"/>
    <cellStyle name="Note 8 7 2" xfId="6867" xr:uid="{09F5F81A-5372-468E-B5EA-1DCEC909B584}"/>
    <cellStyle name="Note 8 7 3" xfId="6868" xr:uid="{BC75DB19-FA9A-4EC1-9789-56799EF68A3C}"/>
    <cellStyle name="Note 8 8" xfId="6869" xr:uid="{2980F71F-0B73-4BA1-B79E-F072FBB35E9E}"/>
    <cellStyle name="Note 8 8 2" xfId="6870" xr:uid="{138C73B4-53BE-4BC3-97C9-22E1A7504275}"/>
    <cellStyle name="Note 8 8 3" xfId="6871" xr:uid="{CB4A2E13-2E71-411B-A4EA-E9241618908A}"/>
    <cellStyle name="Note 8 9" xfId="6872" xr:uid="{2449B45E-228A-43D6-92DA-4BA90F812DE7}"/>
    <cellStyle name="Note 8 9 2" xfId="6873" xr:uid="{69C5C0C2-25BF-4A23-9CC1-59835A37CE7A}"/>
    <cellStyle name="Note 8 9 3" xfId="6874" xr:uid="{B99E360F-B17A-44FF-AC39-6C7469AC858E}"/>
    <cellStyle name="Note 9" xfId="2497" xr:uid="{4FD8D608-8F03-45D8-B131-6D8C5BAD4E59}"/>
    <cellStyle name="Note 9 2" xfId="2498" xr:uid="{C81D9CF0-D6B6-4266-8FEC-39360DF5E1A0}"/>
    <cellStyle name="Note 9 2 2" xfId="2499" xr:uid="{D15D8F03-0ABA-4E57-9A00-90C6104E4E1F}"/>
    <cellStyle name="Note 9 2 2 2" xfId="6876" xr:uid="{F6FEFB1D-24F9-41D4-A386-39B9B980E360}"/>
    <cellStyle name="Note 9 2 3" xfId="2500" xr:uid="{1ACEC21E-1692-4385-AFDB-49BC74DC6916}"/>
    <cellStyle name="Note 9 2 3 2" xfId="6877" xr:uid="{2E151E22-3881-42FC-BBC2-D31B2B3AFCB6}"/>
    <cellStyle name="Note 9 2 4" xfId="6875" xr:uid="{1CEAAB12-E8CB-4DCF-8D49-09270B24C925}"/>
    <cellStyle name="Note 9 3" xfId="2501" xr:uid="{8D47F301-CD51-4701-B12B-21F7F4E97A17}"/>
    <cellStyle name="Note 9 3 2" xfId="2502" xr:uid="{C918338E-3A6D-43AC-98EF-8B6D28679056}"/>
    <cellStyle name="Note 9 3 2 2" xfId="6879" xr:uid="{315DBE1B-EFC9-4E02-BBB4-4F2B5618C5D3}"/>
    <cellStyle name="Note 9 3 3" xfId="2503" xr:uid="{68CC413E-0724-4BD2-9641-8F799A40B951}"/>
    <cellStyle name="Note 9 3 3 2" xfId="6880" xr:uid="{FA53B0C4-79A0-4AB2-AB5A-141E11003D40}"/>
    <cellStyle name="Note 9 3 4" xfId="6878" xr:uid="{8983687F-25A8-4EE7-A758-A567FC6CE2DF}"/>
    <cellStyle name="Note 9 4" xfId="2504" xr:uid="{7B1F8155-F2C0-4007-96B7-5AF1504B011C}"/>
    <cellStyle name="Note 9 4 2" xfId="2505" xr:uid="{885EF1F4-870C-48F4-98F5-1D63E9081E63}"/>
    <cellStyle name="Note 9 4 2 2" xfId="6882" xr:uid="{7CBA2641-5EA8-48C5-8FE5-CAA191140C57}"/>
    <cellStyle name="Note 9 4 3" xfId="2506" xr:uid="{4023B4AF-0E63-44FB-A04D-4FF29960F62A}"/>
    <cellStyle name="Note 9 4 3 2" xfId="6883" xr:uid="{EB620ED5-F043-4904-9C6D-A1C7CF073EC1}"/>
    <cellStyle name="Note 9 4 4" xfId="6881" xr:uid="{E213CBC4-130F-457C-B58C-3CA55E16AAF2}"/>
    <cellStyle name="Note 9 5" xfId="2507" xr:uid="{A81A8F7C-C9F2-4C31-961D-855212E15591}"/>
    <cellStyle name="Note 9 5 2" xfId="2508" xr:uid="{A7FEF000-D27A-4226-8752-754BAE4534D8}"/>
    <cellStyle name="Note 9 5 2 2" xfId="6885" xr:uid="{F4BBB2AB-7E89-454C-92CD-C12CC2B7EC61}"/>
    <cellStyle name="Note 9 5 3" xfId="2509" xr:uid="{7190F81E-8C0C-41D3-937A-2FCA5BDAC69E}"/>
    <cellStyle name="Note 9 5 3 2" xfId="6886" xr:uid="{5D3175E9-A740-4F25-A9AF-32F4CD139F11}"/>
    <cellStyle name="Note 9 5 4" xfId="6884" xr:uid="{DCE1E3AA-47AC-4059-8E8B-BA19C3E368BE}"/>
    <cellStyle name="Note 9 6" xfId="2510" xr:uid="{6155792B-8BD2-4103-9508-1AAE78BE33DF}"/>
    <cellStyle name="Note 9 6 2" xfId="6888" xr:uid="{61751CB5-9756-448C-99CA-2163D272EEA0}"/>
    <cellStyle name="Note 9 6 3" xfId="6889" xr:uid="{8BCEDB8C-3C58-40BC-9238-9AC90D268D03}"/>
    <cellStyle name="Note 9 6 4" xfId="6887" xr:uid="{FA448424-6CD1-4842-839F-1AE43F94CC77}"/>
    <cellStyle name="Note 9 7" xfId="6890" xr:uid="{A73F0BA6-C9EB-4527-85DA-F0C6A4127EF9}"/>
    <cellStyle name="Note 9 7 2" xfId="6891" xr:uid="{24BEE1E6-A5D6-4F15-9588-42F9F9996F26}"/>
    <cellStyle name="Note 9 7 3" xfId="6892" xr:uid="{816DD16C-08F5-4F32-9A29-A628B2840EAA}"/>
    <cellStyle name="Note 9 8" xfId="6893" xr:uid="{904B33A5-732F-4F15-994B-8C7385AEF536}"/>
    <cellStyle name="Note 9 8 2" xfId="6894" xr:uid="{ED3F7F7D-0D6E-4560-B1BD-DDDF400B3CA7}"/>
    <cellStyle name="Note 9 8 3" xfId="6895" xr:uid="{445AEA19-13D4-4042-A532-BE06841322AA}"/>
    <cellStyle name="Note 9 9" xfId="6896" xr:uid="{E03E8814-40C7-406B-8BB9-C611A28BA28C}"/>
    <cellStyle name="Note 9 9 2" xfId="6897" xr:uid="{FD1B10E6-B797-401E-AD2E-5A993D61B780}"/>
    <cellStyle name="Note 9 9 3" xfId="6898" xr:uid="{6BC990DC-F52D-4B84-918D-137DDC3D439C}"/>
    <cellStyle name="Notes" xfId="2511" xr:uid="{CA347955-C817-4D68-B0D1-5F5DCCC2E0DC}"/>
    <cellStyle name="num1Style" xfId="6899" xr:uid="{9884E06A-005B-444C-AE8D-F8B2C5F963AD}"/>
    <cellStyle name="num1Style 2" xfId="6900" xr:uid="{AA675885-A8DA-492A-B271-E03F1FBB59FD}"/>
    <cellStyle name="num1Style 3" xfId="6901" xr:uid="{335F3D4B-7F9D-4DDC-9922-2715AF86E95C}"/>
    <cellStyle name="num1Style 4" xfId="6902" xr:uid="{BEF5908E-BF0D-403B-9610-9494C991711F}"/>
    <cellStyle name="num1Style 5" xfId="6903" xr:uid="{A98233F2-2A30-469B-93B5-A0C0D9DABB83}"/>
    <cellStyle name="num1Style 6" xfId="6904" xr:uid="{3785AD5B-2ABF-4B7A-A742-FB4DA2B50075}"/>
    <cellStyle name="num1Styleb" xfId="6905" xr:uid="{584F362E-0626-4246-9DA9-A4BF0A5C8516}"/>
    <cellStyle name="num1Styleb 2" xfId="6906" xr:uid="{B4F30407-3F9A-48D8-9C3C-90A02D0D8FF7}"/>
    <cellStyle name="num1Styleb 3" xfId="6907" xr:uid="{3E643EC8-5963-4986-B9D0-5ACC2FBA2B30}"/>
    <cellStyle name="num1Styleb 4" xfId="6908" xr:uid="{57860092-501B-41CB-8809-999B50C0F9F4}"/>
    <cellStyle name="num1Styleb 5" xfId="6909" xr:uid="{EC117A78-9968-46EA-A932-6E9062FE39BF}"/>
    <cellStyle name="num1Styleb 6" xfId="6910" xr:uid="{8AE708D0-2688-4750-801D-91E251DAA360}"/>
    <cellStyle name="num4Style" xfId="6911" xr:uid="{7473BC27-DE94-427A-84CB-F3165932BC0D}"/>
    <cellStyle name="num4Style 2" xfId="6912" xr:uid="{4915C901-D5C6-476E-AE2C-933BF6D910F7}"/>
    <cellStyle name="num4Style 3" xfId="6913" xr:uid="{C4DCFCA7-1709-4051-A8CE-376432324305}"/>
    <cellStyle name="num4Style 4" xfId="6914" xr:uid="{D3DC1FE1-02FD-4F9D-86B3-595886E9E63E}"/>
    <cellStyle name="num4Style 5" xfId="6915" xr:uid="{BCF510AA-B863-4326-B46B-4157D0E49AF8}"/>
    <cellStyle name="num4Style 6" xfId="6916" xr:uid="{DB0D084E-4760-4A62-801F-75F3AF421200}"/>
    <cellStyle name="num4Styleb" xfId="6917" xr:uid="{E8E22DCD-D2AE-44EB-96F4-0C1D042DD9E2}"/>
    <cellStyle name="num4Styleb 2" xfId="6918" xr:uid="{4047CE11-080E-4FFF-A35D-52E203F143F3}"/>
    <cellStyle name="num4Styleb 3" xfId="6919" xr:uid="{3B87EDD2-B5CD-4018-9F81-D2557EEC57BC}"/>
    <cellStyle name="num4Styleb 4" xfId="6920" xr:uid="{469C76DD-180E-4EBD-AE15-9551D4E3CE60}"/>
    <cellStyle name="num4Styleb 5" xfId="6921" xr:uid="{0363041A-4DA9-4DFD-B446-7496B884E158}"/>
    <cellStyle name="num4Styleb 6" xfId="6922" xr:uid="{A51ADC8F-2A0B-4BC5-8D07-4CE8A8EDCA9E}"/>
    <cellStyle name="Number" xfId="2512" xr:uid="{47E55EE9-88B1-47F5-A215-98EDA2D82125}"/>
    <cellStyle name="number 2" xfId="6923" xr:uid="{716870BA-CDA9-4EE5-9D48-A340A6C26F89}"/>
    <cellStyle name="Numbers" xfId="3341" xr:uid="{6E531685-D0B6-407D-A458-16F9CD5149C3}"/>
    <cellStyle name="Numbers - Bold" xfId="3342" xr:uid="{A9715FE4-4DEE-4337-9987-9E0139740F49}"/>
    <cellStyle name="Numbers - Bold - Italic" xfId="3343" xr:uid="{16FA3073-98B4-4DD2-9165-327C99E3238A}"/>
    <cellStyle name="Numbers - Bold_6079BX" xfId="3344" xr:uid="{966A3645-036D-40F8-BB3B-E98C6DD3C829}"/>
    <cellStyle name="Numbers - Large" xfId="3345" xr:uid="{45DBFCB6-979E-48DB-8724-AA656A6328C0}"/>
    <cellStyle name="Numbers_6079BX" xfId="3346" xr:uid="{75B76C99-00F7-4CC4-B202-968853827B81}"/>
    <cellStyle name="numPStyle" xfId="6924" xr:uid="{4E37CA5D-2717-447D-B12F-5CF51846BC82}"/>
    <cellStyle name="numPStyle 2" xfId="6925" xr:uid="{FA6ACF40-C477-4641-9BFF-1B568546953E}"/>
    <cellStyle name="numPStyle 3" xfId="6926" xr:uid="{815C079B-A878-4D7E-8EDE-05A6EEF04BB7}"/>
    <cellStyle name="numPStyle 4" xfId="6927" xr:uid="{A9185630-9153-42FA-B77F-C9DD5D5FDEC6}"/>
    <cellStyle name="numPStyle 5" xfId="6928" xr:uid="{78E8D1C5-712E-4867-A146-B48B40811354}"/>
    <cellStyle name="numPStyle 6" xfId="6929" xr:uid="{8664E09C-7864-4DE9-A73C-03A68424CF8E}"/>
    <cellStyle name="numPStyleb" xfId="6930" xr:uid="{729864AF-9558-4F74-B23E-318D6603EE7C}"/>
    <cellStyle name="numPStyleb 2" xfId="6931" xr:uid="{C757DAA9-15A2-48FE-A539-3578CE6FBD2E}"/>
    <cellStyle name="numPStyleb 3" xfId="6932" xr:uid="{BF5F058C-C1CB-400A-82C1-C28D4BEB2F28}"/>
    <cellStyle name="numPStyleb 4" xfId="6933" xr:uid="{F8289811-D662-4F07-AF67-08FC7EB67457}"/>
    <cellStyle name="numPStyleb 5" xfId="6934" xr:uid="{36196238-A312-4F36-82E8-8725458D64EF}"/>
    <cellStyle name="numPStyleb 6" xfId="6935" xr:uid="{E470D790-4F47-4577-AD37-227BAEF5C16F}"/>
    <cellStyle name="numXStyle" xfId="6936" xr:uid="{4842D9DE-1190-4E78-9B26-D3991D1528FD}"/>
    <cellStyle name="numXStyle 2" xfId="6937" xr:uid="{0FCFDD64-3FAD-4090-B147-1E70F76BB4C6}"/>
    <cellStyle name="numXStyle 3" xfId="6938" xr:uid="{A1C8156E-6DE6-4011-8FB7-21B47F3D5C93}"/>
    <cellStyle name="numXStyle 4" xfId="6939" xr:uid="{337695B6-39FC-4C65-A0AA-185DE750BE8E}"/>
    <cellStyle name="numXStyle 5" xfId="6940" xr:uid="{71CD21A2-069E-4B68-A164-0325D6AA6D47}"/>
    <cellStyle name="numXStyle 6" xfId="6941" xr:uid="{9D3E5F7C-AB5A-479A-A7DC-53360E6740FC}"/>
    <cellStyle name="numXStyleb" xfId="6942" xr:uid="{442FD45A-E13A-4CDF-A50C-0BECE3DF504D}"/>
    <cellStyle name="numXStyleb 2" xfId="6943" xr:uid="{65E8E0B5-6C38-416C-B4B1-B5ABCEC273D1}"/>
    <cellStyle name="numXStyleb 3" xfId="6944" xr:uid="{C3392A10-D32C-4B6F-85FB-77D61D9CAC1D}"/>
    <cellStyle name="numXStyleb 4" xfId="6945" xr:uid="{6CD1C439-1EF3-4335-92B6-B63831344774}"/>
    <cellStyle name="numXStyleb 5" xfId="6946" xr:uid="{D7242552-E720-4BBD-9F60-7EBD2E18DCF9}"/>
    <cellStyle name="numXStyleb 6" xfId="6947" xr:uid="{79595D5D-E93A-4765-B9C2-348DCA08CEF4}"/>
    <cellStyle name="Obliczenia 2" xfId="3273" xr:uid="{E139341D-C52E-4272-BD6B-B9F934B4315D}"/>
    <cellStyle name="Œ…‹æØ‚è [0.00]_!!!GO" xfId="6948" xr:uid="{18EF212E-87D3-48C8-B051-9DA8BBE1FF34}"/>
    <cellStyle name="Œ…‹æØ‚è_!!!GO" xfId="6949" xr:uid="{E525CC9B-65E1-4ED7-BFE9-BD0069F00D29}"/>
    <cellStyle name="outh America" xfId="6950" xr:uid="{7965186F-CD17-4029-AE7A-5AB39E6769BE}"/>
    <cellStyle name="outh America 2" xfId="6951" xr:uid="{48EAC267-735B-48BE-9A6F-DC9218174A45}"/>
    <cellStyle name="Output 10" xfId="2513" xr:uid="{83A3BC34-6CD8-4EA2-A60E-BA73180E266F}"/>
    <cellStyle name="Output 10 2" xfId="2514" xr:uid="{19417BC8-FBCC-472B-AA1C-BB46096B08C8}"/>
    <cellStyle name="Output 10 2 2" xfId="2515" xr:uid="{50C150F8-63EB-4EB3-BEC1-7201C9E26F61}"/>
    <cellStyle name="Output 10 2 2 2" xfId="7672" xr:uid="{943F95E1-D022-4519-B1B4-9F3E3DADB47D}"/>
    <cellStyle name="Output 10 2 3" xfId="2516" xr:uid="{C4880292-77EF-4DB6-8867-6D41968E5C17}"/>
    <cellStyle name="Output 10 2 3 2" xfId="7673" xr:uid="{149DA91B-7B9B-4507-B812-CB7B3E13F616}"/>
    <cellStyle name="Output 10 2 4" xfId="2517" xr:uid="{1685A0B0-51CE-42AF-8C70-0AB1AB5CA1B7}"/>
    <cellStyle name="Output 10 2 4 2" xfId="7674" xr:uid="{71D70EF4-D47B-41B2-90EA-2B40E939057D}"/>
    <cellStyle name="Output 10 2 5" xfId="6952" xr:uid="{06F8B773-5A7D-48DD-86A6-774D3A3F35F4}"/>
    <cellStyle name="Output 10 3" xfId="6953" xr:uid="{A3A0D9A3-62BC-4CD4-A7D9-4B976A3B3BD7}"/>
    <cellStyle name="Output 10 4" xfId="6954" xr:uid="{CC749877-3832-4A05-80DA-75DE1FF082E9}"/>
    <cellStyle name="Output 10 5" xfId="6955" xr:uid="{41C92DF8-5650-4E3C-84F8-1934AE199B45}"/>
    <cellStyle name="Output 10 6" xfId="6956" xr:uid="{10082896-3672-405B-947E-2679F8F1651C}"/>
    <cellStyle name="Output 10 7" xfId="6957" xr:uid="{8576DF65-AF13-411F-B52E-10DB816745A2}"/>
    <cellStyle name="Output 11" xfId="2518" xr:uid="{4DFFF836-6C71-4500-88EB-F7A52E455092}"/>
    <cellStyle name="Output 11 2" xfId="2519" xr:uid="{7D6A4ADC-ADEA-449F-8103-1BCBCFBE10DD}"/>
    <cellStyle name="Output 11 2 2" xfId="2520" xr:uid="{96B402EF-0C62-4BCC-B211-E5B67C61A716}"/>
    <cellStyle name="Output 11 2 2 2" xfId="7675" xr:uid="{01B85355-C9B4-4E78-B9EA-C555C147E316}"/>
    <cellStyle name="Output 11 2 3" xfId="2521" xr:uid="{EF0DA1BF-C2DF-46CD-8F49-91BCFE2CE2B5}"/>
    <cellStyle name="Output 11 2 3 2" xfId="7676" xr:uid="{465A0534-C05F-4E3C-AD0A-E1E7D8440AE8}"/>
    <cellStyle name="Output 11 2 4" xfId="2522" xr:uid="{A3FDF42E-649A-45C1-B1FC-F8E4938B5D85}"/>
    <cellStyle name="Output 11 2 4 2" xfId="7677" xr:uid="{84AFDDA6-1496-443A-9258-1E544D55FDF8}"/>
    <cellStyle name="Output 11 2 5" xfId="6958" xr:uid="{341444BA-B001-4ADB-ABA7-B8D8ACDF9765}"/>
    <cellStyle name="Output 11 3" xfId="6959" xr:uid="{BAE76E07-2316-428C-936B-153490B5E9E8}"/>
    <cellStyle name="Output 11 4" xfId="6960" xr:uid="{9AB302E2-2CE0-468F-96BB-5D891CB3222B}"/>
    <cellStyle name="Output 11 5" xfId="6961" xr:uid="{65B4F21F-4277-4AE3-A1CA-2538108E1257}"/>
    <cellStyle name="Output 11 6" xfId="6962" xr:uid="{1C248742-129B-428B-8526-EC312E714F87}"/>
    <cellStyle name="Output 11 7" xfId="6963" xr:uid="{EE254E79-95B0-4228-B181-F5CF31A2BE02}"/>
    <cellStyle name="Output 12" xfId="2523" xr:uid="{256CE7E3-2691-44E3-8D14-A9884FD61AFD}"/>
    <cellStyle name="Output 12 2" xfId="2524" xr:uid="{B7F404FE-23D8-412A-ADA5-8BEC06666503}"/>
    <cellStyle name="Output 12 2 2" xfId="2525" xr:uid="{70A03FE0-3C19-4CB3-AF89-EF2AFF9194A6}"/>
    <cellStyle name="Output 12 2 2 2" xfId="7678" xr:uid="{48DD8D74-0343-4F6C-955D-48046A0FBDF7}"/>
    <cellStyle name="Output 12 2 3" xfId="2526" xr:uid="{18935FAB-1FD9-40D5-8642-3EBEB95D2FD7}"/>
    <cellStyle name="Output 12 2 3 2" xfId="7679" xr:uid="{5783E1DF-CE52-4A58-AC88-0E999130E490}"/>
    <cellStyle name="Output 12 2 4" xfId="2527" xr:uid="{F77C61AD-19FD-45F0-BF15-EABD1818D0FC}"/>
    <cellStyle name="Output 12 2 4 2" xfId="7680" xr:uid="{926A42F3-42C3-423F-8CF1-9F99D3BE9E42}"/>
    <cellStyle name="Output 12 2 5" xfId="6964" xr:uid="{D41D7ABB-203D-49A0-9A16-89D0159E7B2B}"/>
    <cellStyle name="Output 12 3" xfId="6965" xr:uid="{6B0BE44C-601F-4F0E-9514-11C5089CBBED}"/>
    <cellStyle name="Output 12 4" xfId="6966" xr:uid="{2B1CEA48-171F-4DFA-B165-6F5594B53CC2}"/>
    <cellStyle name="Output 12 5" xfId="6967" xr:uid="{B67C977D-9836-4F42-98CD-1D1590BABEFB}"/>
    <cellStyle name="Output 12 6" xfId="6968" xr:uid="{C8F0169C-88F4-4CD4-A3B0-E5AF564CF5D4}"/>
    <cellStyle name="Output 12 7" xfId="6969" xr:uid="{177D6782-4ABC-4FFB-9D91-92D622F2B91E}"/>
    <cellStyle name="Output 13" xfId="2528" xr:uid="{A9BCCF35-A249-4ECA-9B49-D7F696399360}"/>
    <cellStyle name="Output 13 2" xfId="6970" xr:uid="{A77B3711-E6B6-428D-AC88-DA2BFD01BBAF}"/>
    <cellStyle name="Output 14" xfId="2529" xr:uid="{C285F06E-3FC4-4C06-9A88-E7FB083B5935}"/>
    <cellStyle name="Output 14 2" xfId="6971" xr:uid="{87AF3971-9ECA-4FAF-A372-C45A3BD623EC}"/>
    <cellStyle name="Output 15" xfId="2530" xr:uid="{1BF167F0-EB1B-4265-95F4-CDB8693A1613}"/>
    <cellStyle name="Output 15 2" xfId="6972" xr:uid="{865DB567-456B-4F87-8284-AC114D93090E}"/>
    <cellStyle name="Output 16" xfId="2531" xr:uid="{A4C85854-2D12-4AEB-8AC5-82A71E623F0C}"/>
    <cellStyle name="Output 16 2" xfId="6973" xr:uid="{E4833644-A64F-413E-B18A-384FE4FE208B}"/>
    <cellStyle name="Output 17" xfId="2532" xr:uid="{27FCD445-835B-4E0E-A65D-515283FAA085}"/>
    <cellStyle name="Output 17 2" xfId="6974" xr:uid="{01CD12E6-AD3C-46FE-8254-E817C481345D}"/>
    <cellStyle name="Output 18" xfId="2533" xr:uid="{2538BF17-2D5E-4C1D-97ED-A3BBE1DA11E8}"/>
    <cellStyle name="Output 18 2" xfId="6975" xr:uid="{E38A1736-313A-48E7-A31C-4AA496109866}"/>
    <cellStyle name="Output 19" xfId="2534" xr:uid="{4FDB4096-43EF-41E5-9180-6A0903967C52}"/>
    <cellStyle name="Output 19 2" xfId="6976" xr:uid="{72F326A9-47ED-415C-A256-FE8E40712F3C}"/>
    <cellStyle name="Output 2" xfId="2535" xr:uid="{270948ED-42B9-467A-91BC-27672D897E4C}"/>
    <cellStyle name="Output 2 2" xfId="2536" xr:uid="{31CFBBE2-ABA1-4CB8-BF35-260056846C9A}"/>
    <cellStyle name="Output 2 2 2" xfId="2537" xr:uid="{157C93B6-A78A-4232-8DAF-0F2EAB6E239E}"/>
    <cellStyle name="Output 2 2 2 2" xfId="2538" xr:uid="{D48E90B5-AB24-46F8-BCC2-B9FFD9552269}"/>
    <cellStyle name="Output 2 2 2 2 2" xfId="7681" xr:uid="{B5AE98C0-77F3-4A9E-AE08-1FE3C6C03F95}"/>
    <cellStyle name="Output 2 2 2 3" xfId="2539" xr:uid="{98DBE26D-1F29-4741-BD09-C1DCD9A44235}"/>
    <cellStyle name="Output 2 2 2 3 2" xfId="7682" xr:uid="{56E260EC-B706-4565-8718-637A60B96575}"/>
    <cellStyle name="Output 2 2 2 4" xfId="2540" xr:uid="{43E13EC0-6159-41A7-90DC-49A51FD7E7C2}"/>
    <cellStyle name="Output 2 2 2 4 2" xfId="7683" xr:uid="{C7DA8928-FF85-427E-B77D-FF7C727306EC}"/>
    <cellStyle name="Output 2 2 3" xfId="2541" xr:uid="{07085DBF-4038-4C65-ADD6-E49781C663EB}"/>
    <cellStyle name="Output 2 2 3 2" xfId="7684" xr:uid="{7CA00D89-A255-4ACE-9FC7-B82718870A5F}"/>
    <cellStyle name="Output 2 2 4" xfId="2542" xr:uid="{B955EFBE-7686-4D9C-AB6E-560A81B52D8C}"/>
    <cellStyle name="Output 2 2 4 2" xfId="7685" xr:uid="{D088CDAB-548C-445D-8110-8C197B31EA9D}"/>
    <cellStyle name="Output 2 2 5" xfId="2543" xr:uid="{00444A32-B2D1-444B-AD65-5EB22E839533}"/>
    <cellStyle name="Output 2 2 5 2" xfId="7686" xr:uid="{B76C271A-7BB3-47C5-9FF7-C53FE62281FF}"/>
    <cellStyle name="Output 2 2 6" xfId="6977" xr:uid="{5B1C1AD6-B44E-41B4-89C2-4416930863B2}"/>
    <cellStyle name="Output 2 3" xfId="6978" xr:uid="{6D460083-DF3B-40A7-881E-4832484162DA}"/>
    <cellStyle name="Output 2 4" xfId="6979" xr:uid="{2982DD23-B5F5-469B-999B-CDF432275939}"/>
    <cellStyle name="Output 2 5" xfId="6980" xr:uid="{6A71E46C-5822-4EA4-B896-6B90EF410BE1}"/>
    <cellStyle name="Output 2 6" xfId="6981" xr:uid="{EDED8C7C-D676-4A19-8D26-264431822534}"/>
    <cellStyle name="Output 2 7" xfId="6982" xr:uid="{31008311-85F4-47E4-8468-54491B0FC2B3}"/>
    <cellStyle name="Output 20" xfId="2544" xr:uid="{19802482-92A5-4F93-B3CE-FC8BCE6A554A}"/>
    <cellStyle name="Output 20 2" xfId="6983" xr:uid="{0E0425B9-DA76-4CCD-80C8-3E650D7123CF}"/>
    <cellStyle name="Output 21" xfId="2545" xr:uid="{FE032B0A-F9F3-4D64-911D-E93E3DA4FB24}"/>
    <cellStyle name="Output 21 2" xfId="6984" xr:uid="{6E6EEAE9-3207-4A6A-8D73-6C2666A26CBB}"/>
    <cellStyle name="Output 22" xfId="2546" xr:uid="{88BC246F-A9E1-454D-9C47-E3F576E95EDF}"/>
    <cellStyle name="Output 23" xfId="2547" xr:uid="{AFB0658A-5557-4F3C-AB21-B086333C00B4}"/>
    <cellStyle name="Output 24" xfId="2548" xr:uid="{15F8185A-2A88-4BE9-A4C9-297396B55238}"/>
    <cellStyle name="Output 25" xfId="2549" xr:uid="{3F18423F-A2DB-45FD-AA22-3D1F3C9EA1AD}"/>
    <cellStyle name="Output 26" xfId="2550" xr:uid="{CEA4B61C-7724-4C21-AD2A-D04CE54D175B}"/>
    <cellStyle name="Output 26 2" xfId="7687" xr:uid="{3059C4D2-7F90-450C-9F90-4D1DA7025118}"/>
    <cellStyle name="Output 3" xfId="2551" xr:uid="{6DF5B6F3-F5C4-4681-9FFD-06DE94E579B0}"/>
    <cellStyle name="Output 3 2" xfId="2552" xr:uid="{182F0CD7-EFA1-459B-B194-612CD38FBCD6}"/>
    <cellStyle name="Output 3 2 2" xfId="2553" xr:uid="{78DA8181-10EA-4DDC-9495-2572309B7494}"/>
    <cellStyle name="Output 3 2 2 2" xfId="7688" xr:uid="{A20337A5-6E8C-41CB-9470-6212DC0557AB}"/>
    <cellStyle name="Output 3 2 3" xfId="2554" xr:uid="{B1E7A11C-FF61-4C69-AB3B-A1D90429814F}"/>
    <cellStyle name="Output 3 2 3 2" xfId="7689" xr:uid="{7B208EEC-9539-4C3A-8958-A108DE339250}"/>
    <cellStyle name="Output 3 2 4" xfId="2555" xr:uid="{E181D45D-C977-44D1-9323-BC73C351C6FC}"/>
    <cellStyle name="Output 3 2 4 2" xfId="7690" xr:uid="{F1C3F7D2-2EBA-49D8-95C7-9C608229DBE2}"/>
    <cellStyle name="Output 3 2 5" xfId="6985" xr:uid="{F48977BD-F766-489B-8C98-89786F7B70CF}"/>
    <cellStyle name="Output 3 3" xfId="6986" xr:uid="{6B4B16F8-16AF-4C07-8E42-237DED4BECFF}"/>
    <cellStyle name="Output 3 4" xfId="6987" xr:uid="{E7F21106-06A6-4430-9FEB-0FD5A674D36A}"/>
    <cellStyle name="Output 3 5" xfId="6988" xr:uid="{D56189F0-F682-4E3F-A97D-457A92EC6862}"/>
    <cellStyle name="Output 3 6" xfId="6989" xr:uid="{5239FE0E-01F3-4077-9249-A79DC4BE5D2E}"/>
    <cellStyle name="Output 3 7" xfId="6990" xr:uid="{76F287CC-7A7D-42A6-9A66-57651B8700FD}"/>
    <cellStyle name="Output 3 8" xfId="3425" xr:uid="{FF1E6527-CE8E-4BD7-AA61-CF824AB2DE3F}"/>
    <cellStyle name="Output 4" xfId="2556" xr:uid="{3A163620-A369-443D-BBA5-2AFD3747D253}"/>
    <cellStyle name="Output 4 2" xfId="2557" xr:uid="{3B2AAE0E-1845-401C-B8AF-99A9DB57823E}"/>
    <cellStyle name="Output 4 2 2" xfId="2558" xr:uid="{B763B27D-3AB3-4464-8D04-7D9D0358B7FF}"/>
    <cellStyle name="Output 4 2 2 2" xfId="7691" xr:uid="{011337A4-15E9-4ECA-ADF1-D5B292B8F7AC}"/>
    <cellStyle name="Output 4 2 3" xfId="2559" xr:uid="{ED8F61AF-1115-41C0-A934-55A3447FF20A}"/>
    <cellStyle name="Output 4 2 3 2" xfId="7692" xr:uid="{F2E3E1A7-96ED-424F-B223-B14B2F67A1C3}"/>
    <cellStyle name="Output 4 2 4" xfId="2560" xr:uid="{5E84BDA6-763D-4624-B1DA-024B2390F0BE}"/>
    <cellStyle name="Output 4 2 4 2" xfId="7693" xr:uid="{DDC5B67F-94C7-42BA-82AD-9E141179733D}"/>
    <cellStyle name="Output 4 2 5" xfId="6991" xr:uid="{1D6FCD4E-2C2F-4668-A39A-8BE07C710BA0}"/>
    <cellStyle name="Output 4 3" xfId="6992" xr:uid="{B4FD86E2-D74D-49B4-8F96-3E07D8993615}"/>
    <cellStyle name="Output 4 4" xfId="6993" xr:uid="{822C5EA0-128B-41C9-A5D2-5A83DDCC2E41}"/>
    <cellStyle name="Output 4 5" xfId="6994" xr:uid="{885C95B9-6F03-4BA3-BD94-13FA6CC7286A}"/>
    <cellStyle name="Output 4 6" xfId="6995" xr:uid="{5560B407-8A7C-478F-8AAB-52EE90B7B089}"/>
    <cellStyle name="Output 4 7" xfId="6996" xr:uid="{150FD687-6CAF-4D29-A244-61C3CFBFE85B}"/>
    <cellStyle name="Output 5" xfId="2561" xr:uid="{B49C2782-B3EB-404B-8D30-3EF34EEA2957}"/>
    <cellStyle name="Output 5 2" xfId="2562" xr:uid="{1FBD53AF-2776-445F-AE2D-CC0775EDDBB7}"/>
    <cellStyle name="Output 5 2 2" xfId="2563" xr:uid="{38DC84FF-4069-47D7-8242-69540C33BD31}"/>
    <cellStyle name="Output 5 2 2 2" xfId="7694" xr:uid="{0E15EB46-CB15-4A83-A3A2-69225B15305F}"/>
    <cellStyle name="Output 5 2 3" xfId="2564" xr:uid="{ACA6B3E1-68EC-452E-ADE2-A9B869B4EED5}"/>
    <cellStyle name="Output 5 2 3 2" xfId="7695" xr:uid="{4539216E-A7D4-4A6A-9056-AA04B014F4C3}"/>
    <cellStyle name="Output 5 2 4" xfId="2565" xr:uid="{50AAAEA0-D194-48E8-9247-649348A1DA4D}"/>
    <cellStyle name="Output 5 2 4 2" xfId="7696" xr:uid="{B32E5B14-171A-4079-BA5F-5AA5A6DE6A56}"/>
    <cellStyle name="Output 5 2 5" xfId="6997" xr:uid="{B76FE9C2-2E14-41BF-8EE2-B99D31C40F23}"/>
    <cellStyle name="Output 5 3" xfId="6998" xr:uid="{4F055528-C106-444C-96E1-C094E3E48FAE}"/>
    <cellStyle name="Output 5 4" xfId="6999" xr:uid="{CF76C1B6-65F1-4250-B780-899407B1697F}"/>
    <cellStyle name="Output 5 5" xfId="7000" xr:uid="{9BFF7965-1D1F-4213-B506-4A38AC9C8ED0}"/>
    <cellStyle name="Output 5 6" xfId="7001" xr:uid="{8C4A452B-FA4F-408B-9C5B-38DDA4CF764D}"/>
    <cellStyle name="Output 5 7" xfId="7002" xr:uid="{5A859175-3634-45FC-9707-1717C6AF01C4}"/>
    <cellStyle name="Output 6" xfId="2566" xr:uid="{57A0FB5D-B17C-4FA7-8831-420392E80588}"/>
    <cellStyle name="Output 6 2" xfId="2567" xr:uid="{32CA1CED-ABAE-4F9C-9B66-8EB4482FB477}"/>
    <cellStyle name="Output 6 2 2" xfId="2568" xr:uid="{3862AF2D-FE04-438C-AE0A-2D43BDC96F06}"/>
    <cellStyle name="Output 6 2 2 2" xfId="7697" xr:uid="{C54FB176-F002-454F-ABC0-95A2D5E63AE6}"/>
    <cellStyle name="Output 6 2 3" xfId="2569" xr:uid="{A32B01E1-98D0-4830-A3FC-BAFDCD77F641}"/>
    <cellStyle name="Output 6 2 3 2" xfId="7698" xr:uid="{15E13A59-9ACF-4D33-BDDA-234EC2C10832}"/>
    <cellStyle name="Output 6 2 4" xfId="2570" xr:uid="{D33531FD-F2CD-405B-A4CB-DCB47452E454}"/>
    <cellStyle name="Output 6 2 4 2" xfId="7699" xr:uid="{03617108-DAAE-4F8F-8048-18A03DEE1867}"/>
    <cellStyle name="Output 6 2 5" xfId="7003" xr:uid="{B768E37C-F427-41FB-A2F3-E50F96DB4F1C}"/>
    <cellStyle name="Output 6 3" xfId="7004" xr:uid="{90A43AA3-D0F6-49FE-B9EB-8A62D8FC8A5C}"/>
    <cellStyle name="Output 6 4" xfId="7005" xr:uid="{E2E9CADA-CCBA-4FC9-B71E-FD99295AD551}"/>
    <cellStyle name="Output 6 5" xfId="7006" xr:uid="{89F20F16-D5F0-4798-B091-E0EE34144D0C}"/>
    <cellStyle name="Output 6 6" xfId="7007" xr:uid="{4768A3F5-7B0F-43C5-B223-5FBA1016427E}"/>
    <cellStyle name="Output 6 7" xfId="7008" xr:uid="{91A01ED0-FC2F-4B40-A0FC-7E534489E22C}"/>
    <cellStyle name="Output 7" xfId="2571" xr:uid="{B41C9C0B-67B5-4144-921A-367223CB35AD}"/>
    <cellStyle name="Output 7 2" xfId="2572" xr:uid="{1F1932DD-5BA9-4690-BA5A-E8F64D359E41}"/>
    <cellStyle name="Output 7 2 2" xfId="2573" xr:uid="{9F2D779A-4979-43BB-A3F1-47D7DBEA4F39}"/>
    <cellStyle name="Output 7 2 2 2" xfId="7700" xr:uid="{CD4D33E8-D74C-4831-AFE6-986317A1E800}"/>
    <cellStyle name="Output 7 2 3" xfId="2574" xr:uid="{3631BFD6-180B-43D1-A7A4-6F4CE0B5627E}"/>
    <cellStyle name="Output 7 2 3 2" xfId="7701" xr:uid="{45D47F91-C46F-49FA-9654-7373846EF8CF}"/>
    <cellStyle name="Output 7 2 4" xfId="2575" xr:uid="{C90E9D24-085E-48E2-9364-AEB81B176DBD}"/>
    <cellStyle name="Output 7 2 4 2" xfId="7702" xr:uid="{E9C6F15D-4D5B-4382-A90A-2A3C79F4B42B}"/>
    <cellStyle name="Output 7 2 5" xfId="7009" xr:uid="{9DAA856D-0E28-4673-AE00-F3149DF25994}"/>
    <cellStyle name="Output 7 3" xfId="7010" xr:uid="{C1E2A75A-7769-4D61-BC58-79B559842FB7}"/>
    <cellStyle name="Output 7 4" xfId="7011" xr:uid="{F8CF194A-AFC3-4F12-9A69-5F6268466BC9}"/>
    <cellStyle name="Output 7 5" xfId="7012" xr:uid="{D9CA5591-D9F0-4C65-A89E-90BE2BB8F21C}"/>
    <cellStyle name="Output 7 6" xfId="7013" xr:uid="{6F3D1C34-58B8-4AC9-9899-70CA0A20B90B}"/>
    <cellStyle name="Output 7 7" xfId="7014" xr:uid="{276146BE-3F5E-4C05-97C5-0F6AA031ED26}"/>
    <cellStyle name="Output 8" xfId="2576" xr:uid="{BA5658A3-59F5-4A74-9208-F9CD41BB42C4}"/>
    <cellStyle name="Output 8 2" xfId="2577" xr:uid="{D21B6D00-AE83-4EE5-BD29-66F90C9D249D}"/>
    <cellStyle name="Output 8 2 2" xfId="2578" xr:uid="{0321443C-547C-44EB-A1A5-BCC33C1D5785}"/>
    <cellStyle name="Output 8 2 2 2" xfId="7703" xr:uid="{7B4D43A5-415D-409B-BDB8-CAC770BFBC66}"/>
    <cellStyle name="Output 8 2 3" xfId="2579" xr:uid="{0D9814C8-9AA7-44A9-9059-A41EE13CC23C}"/>
    <cellStyle name="Output 8 2 3 2" xfId="7704" xr:uid="{1A571C23-EB42-4B9C-ACC4-93FD7142C581}"/>
    <cellStyle name="Output 8 2 4" xfId="2580" xr:uid="{220DC527-CE1B-4654-B89D-B3AF148683BE}"/>
    <cellStyle name="Output 8 2 4 2" xfId="7705" xr:uid="{8B8ACB19-AE2A-4F4A-B14C-D046448BEEAF}"/>
    <cellStyle name="Output 8 2 5" xfId="7015" xr:uid="{08B8A20A-3DA3-4C56-BAB0-29305EA31850}"/>
    <cellStyle name="Output 8 3" xfId="7016" xr:uid="{7102482B-4E82-4321-8BEE-59353784AFD0}"/>
    <cellStyle name="Output 8 4" xfId="7017" xr:uid="{D101E9AB-0666-4712-BA6B-92F16683D1B3}"/>
    <cellStyle name="Output 8 5" xfId="7018" xr:uid="{D693561E-97BD-449B-9B5B-9FCFB2199233}"/>
    <cellStyle name="Output 8 6" xfId="7019" xr:uid="{FD264A65-E301-424F-B85C-78094D672744}"/>
    <cellStyle name="Output 8 7" xfId="7020" xr:uid="{978DE334-949D-4A7C-BD61-CCEEE4C33ADA}"/>
    <cellStyle name="Output 9" xfId="2581" xr:uid="{8076A583-374A-47EF-98BA-AAE3E7994492}"/>
    <cellStyle name="Output 9 2" xfId="2582" xr:uid="{AF76B14F-FC8E-404A-80E5-CB40B4E1C220}"/>
    <cellStyle name="Output 9 2 2" xfId="2583" xr:uid="{6A41AB7D-A03D-4E79-BBEE-6B9CCA124198}"/>
    <cellStyle name="Output 9 2 2 2" xfId="7706" xr:uid="{9D4D1FF6-913B-4102-B66B-C4EE7E4037BA}"/>
    <cellStyle name="Output 9 2 3" xfId="2584" xr:uid="{D38F6433-B23A-4CAD-B48C-55A8E335F3BC}"/>
    <cellStyle name="Output 9 2 3 2" xfId="7707" xr:uid="{57E40E1E-70A2-4830-8D24-91ACF819EDE6}"/>
    <cellStyle name="Output 9 2 4" xfId="2585" xr:uid="{B336B420-82BA-47B2-98DA-A2652C237555}"/>
    <cellStyle name="Output 9 2 4 2" xfId="7708" xr:uid="{C07116C0-E492-4E94-9736-47FDA65175AA}"/>
    <cellStyle name="Output 9 2 5" xfId="7021" xr:uid="{EFAA04D1-9812-40AA-BF89-036FFEBEDD2F}"/>
    <cellStyle name="Output 9 3" xfId="7022" xr:uid="{5D144DF2-931C-4A94-8184-EC0B04C959A8}"/>
    <cellStyle name="Output 9 4" xfId="7023" xr:uid="{F778B545-6C50-4232-8128-62CEA951518D}"/>
    <cellStyle name="Output 9 5" xfId="7024" xr:uid="{7D0A82DD-818B-4E81-83F9-7B7C4D1D4EDE}"/>
    <cellStyle name="Output 9 6" xfId="7025" xr:uid="{72D246B4-ED1D-476F-8739-FC6DF8DDF62C}"/>
    <cellStyle name="Output 9 7" xfId="7026" xr:uid="{5C5F09E7-E829-4995-9096-4A5D20EFE6FA}"/>
    <cellStyle name="Page header" xfId="2586" xr:uid="{1FB00A28-2E34-4B9F-AFC8-4C4045F0CCA6}"/>
    <cellStyle name="Page header 2" xfId="7027" xr:uid="{E4CE75F9-FDAA-4FD1-9AEF-5F2E70C23213}"/>
    <cellStyle name="Page Number" xfId="2587" xr:uid="{A029843A-D64A-44FC-B61B-74F02BE05490}"/>
    <cellStyle name="Parens (1)" xfId="2588" xr:uid="{E2C0E9C8-0B20-483D-9193-7D7C12352355}"/>
    <cellStyle name="per.style" xfId="7028" xr:uid="{9836F564-7DDC-4C48-9AF4-F87174150B81}"/>
    <cellStyle name="per.style 2" xfId="7029" xr:uid="{BE36BEC2-4C50-4EDD-B620-F6698AF28B86}"/>
    <cellStyle name="Percent" xfId="8204" builtinId="5"/>
    <cellStyle name="Percent [0]" xfId="7030" xr:uid="{E708C591-31C2-4CD6-9B03-2D0A38F77D69}"/>
    <cellStyle name="Percent [0] 2" xfId="7031" xr:uid="{0B4C75C8-A270-435B-A394-FD67EBB02811}"/>
    <cellStyle name="Percent [0] 3" xfId="7032" xr:uid="{7363E5B5-20EB-481B-A2EA-0DA2D6204224}"/>
    <cellStyle name="Percent [0] 4" xfId="7033" xr:uid="{7938A6CA-125B-4610-99DE-4ED5D5CC4F49}"/>
    <cellStyle name="Percent [0] 5" xfId="7034" xr:uid="{41C22211-7B89-46DA-81B7-A29319C7A3CF}"/>
    <cellStyle name="Percent [0] 6" xfId="7035" xr:uid="{F390B76C-0AB6-47A1-8EAB-4533501B6DD2}"/>
    <cellStyle name="Percent [0] 7" xfId="7036" xr:uid="{BE5812D3-4D78-4FE5-BB00-D5F7B831ECD6}"/>
    <cellStyle name="Percent [0] 8" xfId="7037" xr:uid="{33F59650-2DAC-448C-9D0A-1727FE219312}"/>
    <cellStyle name="Percent [00]" xfId="7038" xr:uid="{8574270C-5BF8-4EC6-A0FD-71915C7C7E9A}"/>
    <cellStyle name="Percent [00] 2" xfId="7039" xr:uid="{7E9710B0-9F5A-4A2F-B671-E2B5BEA0D14A}"/>
    <cellStyle name="Percent [00] 3" xfId="7040" xr:uid="{3CA68553-DA5B-4005-B965-C774E470B82D}"/>
    <cellStyle name="Percent [00] 4" xfId="7041" xr:uid="{C4DCB696-B2B4-4837-BC17-DFABDE4E917D}"/>
    <cellStyle name="Percent [00] 5" xfId="7042" xr:uid="{1D642E71-7418-4F49-948B-40C5FC2E8DD6}"/>
    <cellStyle name="Percent [00] 6" xfId="7043" xr:uid="{0927BDFF-7475-4488-97AD-44C07932E2C3}"/>
    <cellStyle name="Percent [00] 7" xfId="7044" xr:uid="{A3FB1CEE-CE45-44DE-A37D-DDFE72A59A6C}"/>
    <cellStyle name="Percent [00] 8" xfId="7045" xr:uid="{374C5000-D9D1-45C9-94B1-340C70CCCB1B}"/>
    <cellStyle name="Percent [2]" xfId="2589" xr:uid="{4C8DC98D-783B-4E0E-8854-168B2C0FF494}"/>
    <cellStyle name="Percent [2] 2" xfId="7046" xr:uid="{D207227E-38FF-4C89-B50B-556D812DF674}"/>
    <cellStyle name="Percent [2] 3" xfId="7047" xr:uid="{6815368A-0712-497F-AF3B-D74B12EFADFE}"/>
    <cellStyle name="Percent [2] 4" xfId="7048" xr:uid="{83648004-CD1B-4EDA-B7DD-7185F0F280CD}"/>
    <cellStyle name="Percent [2] 5" xfId="7049" xr:uid="{8FC5BD4E-1CCE-4B34-B03F-B95BA4933886}"/>
    <cellStyle name="Percent [2] 6" xfId="7050" xr:uid="{E9397D72-560E-4878-B753-6F09738E19EB}"/>
    <cellStyle name="Percent [2] 7" xfId="7051" xr:uid="{143A5786-BFC6-4466-8473-2CC47B58E219}"/>
    <cellStyle name="Percent [2] 8" xfId="7052" xr:uid="{36300630-DB38-4965-BDEC-3F9308FAA7F3}"/>
    <cellStyle name="Percent 2" xfId="2590" xr:uid="{0FC1935A-2F06-42B3-A6F5-CFCA3C619408}"/>
    <cellStyle name="Percent 2 10" xfId="2591" xr:uid="{3E9B60BC-FCA2-455B-85B8-1394FA4D2A6C}"/>
    <cellStyle name="Percent 2 11" xfId="2592" xr:uid="{33A27FAD-CE26-49C9-999D-F1613E7F5196}"/>
    <cellStyle name="Percent 2 12" xfId="2593" xr:uid="{AAE2F1AE-B664-4544-AB95-72C00EAAE756}"/>
    <cellStyle name="Percent 2 13" xfId="2594" xr:uid="{A334267B-3F90-4324-BE1D-1B5F8DD5A323}"/>
    <cellStyle name="Percent 2 14" xfId="2595" xr:uid="{23A6ED9D-D8D4-4CAF-B5D5-237B3DA0EA79}"/>
    <cellStyle name="Percent 2 15" xfId="2596" xr:uid="{80145735-7EF7-46DF-B784-955C7EB26F4C}"/>
    <cellStyle name="Percent 2 16" xfId="2597" xr:uid="{3BD6154B-AAC8-4660-A8B1-9359EB9094E9}"/>
    <cellStyle name="Percent 2 17" xfId="2598" xr:uid="{F0D9214D-7120-44B1-B746-DFC981CD9CBF}"/>
    <cellStyle name="Percent 2 18" xfId="2599" xr:uid="{ACE4B75D-F91A-4BFA-ACE9-77BFF0A89DE5}"/>
    <cellStyle name="Percent 2 19" xfId="2600" xr:uid="{68C510F9-37A1-4AA9-A04B-9E25F13AF0A9}"/>
    <cellStyle name="Percent 2 2" xfId="2601" xr:uid="{02051334-7FA6-4E0F-8748-A726ED5987F2}"/>
    <cellStyle name="Percent 2 2 2" xfId="7053" xr:uid="{54282C0D-C1E6-4513-AA4E-8E8AF024C4FD}"/>
    <cellStyle name="Percent 2 20" xfId="2602" xr:uid="{7D47590D-FD01-49B4-80EC-C58FF6BA79AF}"/>
    <cellStyle name="Percent 2 21" xfId="2603" xr:uid="{B1FDE504-955D-4CC7-80AE-7C69971DEA82}"/>
    <cellStyle name="Percent 2 22" xfId="2604" xr:uid="{830D7465-30F2-4088-8CB7-97A4B985EF03}"/>
    <cellStyle name="Percent 2 23" xfId="2605" xr:uid="{A073533B-F725-4977-B139-198463CC120B}"/>
    <cellStyle name="Percent 2 24" xfId="2606" xr:uid="{786D633A-31D6-4C8C-AA79-19664DD7B05C}"/>
    <cellStyle name="Percent 2 25" xfId="2607" xr:uid="{844E75E9-C272-4982-8CD3-5D5DAB630517}"/>
    <cellStyle name="Percent 2 26" xfId="2608" xr:uid="{F84B1190-4AE5-4F34-A14B-6A6EC32228B2}"/>
    <cellStyle name="Percent 2 27" xfId="2609" xr:uid="{3983CA0C-4C48-46AC-8CF2-DC86FB8E6AE7}"/>
    <cellStyle name="Percent 2 28" xfId="2610" xr:uid="{FE87F759-CDB9-460F-8C76-005A54DC837E}"/>
    <cellStyle name="Percent 2 29" xfId="2611" xr:uid="{3EBF9511-D31A-4434-9DF2-D2F5DBDF6886}"/>
    <cellStyle name="Percent 2 3" xfId="2612" xr:uid="{4DE1468C-609A-4EBE-BE07-C9BEE0F17EC5}"/>
    <cellStyle name="Percent 2 3 2" xfId="7054" xr:uid="{DD2FCC6F-F6B5-4AB3-B088-274B1D04F19F}"/>
    <cellStyle name="Percent 2 30" xfId="2613" xr:uid="{4EA31BB8-4EE9-467C-9506-F29FE97ED53B}"/>
    <cellStyle name="Percent 2 31" xfId="2614" xr:uid="{4CF5C02D-5CE5-44EC-9A3B-E4BD0EB7BC75}"/>
    <cellStyle name="Percent 2 32" xfId="2615" xr:uid="{512B0449-C9BA-401F-8284-079859BA9C9B}"/>
    <cellStyle name="Percent 2 33" xfId="2616" xr:uid="{0E647178-E9A6-4FC9-8F07-745AD1B47A6E}"/>
    <cellStyle name="Percent 2 34" xfId="2617" xr:uid="{AB0126D4-6984-41FB-B3AE-8DA267923D49}"/>
    <cellStyle name="Percent 2 35" xfId="2618" xr:uid="{528A9440-99BA-46C4-BF77-F9A426153731}"/>
    <cellStyle name="Percent 2 36" xfId="2619" xr:uid="{FFC4D7F4-001A-4993-BD14-57C57CD33942}"/>
    <cellStyle name="Percent 2 37" xfId="2620" xr:uid="{40857E29-13CB-480E-B1BC-D75DBF74704F}"/>
    <cellStyle name="Percent 2 38" xfId="2621" xr:uid="{337D598D-823F-46DA-B7A1-DC4BC1EE576D}"/>
    <cellStyle name="Percent 2 39" xfId="2622" xr:uid="{374C92E7-E501-46CA-8D81-4824990AD9FF}"/>
    <cellStyle name="Percent 2 4" xfId="2623" xr:uid="{CE8A01C3-2094-48B7-A49C-8E7954CB8E1E}"/>
    <cellStyle name="Percent 2 4 2" xfId="7055" xr:uid="{7ACB2B3B-0813-446A-8FB2-954BA58A0983}"/>
    <cellStyle name="Percent 2 40" xfId="2624" xr:uid="{A91C90EF-A158-4FEE-9A1A-4A5E22B8D74C}"/>
    <cellStyle name="Percent 2 41" xfId="2625" xr:uid="{CDCF33EA-9262-457D-925F-818DC6970AD7}"/>
    <cellStyle name="Percent 2 42" xfId="2626" xr:uid="{13444BD6-C374-4C85-BCA9-7E0E6BB44AE5}"/>
    <cellStyle name="Percent 2 43" xfId="2627" xr:uid="{8CE60AC5-5083-40C4-B396-890F62304473}"/>
    <cellStyle name="Percent 2 44" xfId="2628" xr:uid="{2F0A246F-E0C6-4DBF-97DB-03C94804488A}"/>
    <cellStyle name="Percent 2 45" xfId="2629" xr:uid="{ECCAF70D-7C17-4237-927F-D34BF73FC4BD}"/>
    <cellStyle name="Percent 2 46" xfId="2630" xr:uid="{A607FA4B-64C0-4F20-A3F2-CBAE8FF68994}"/>
    <cellStyle name="Percent 2 47" xfId="2631" xr:uid="{712CFAAF-7641-4428-A867-2DF3A784ABA8}"/>
    <cellStyle name="Percent 2 48" xfId="2632" xr:uid="{29131B14-BB9E-4F1C-A187-3323B13FB9A5}"/>
    <cellStyle name="Percent 2 49" xfId="2633" xr:uid="{0EE0ABEA-B690-469A-82B0-49577802903D}"/>
    <cellStyle name="Percent 2 5" xfId="2634" xr:uid="{21FA2472-19E4-464E-9BA8-7B859C756A79}"/>
    <cellStyle name="Percent 2 50" xfId="2635" xr:uid="{5247EFE1-4222-4E8E-8F23-CB1EEC970722}"/>
    <cellStyle name="Percent 2 51" xfId="2636" xr:uid="{858DD427-0BC5-4B5A-A394-79B923A6EF12}"/>
    <cellStyle name="Percent 2 52" xfId="2637" xr:uid="{3F3D7FEF-64F0-4E34-8243-3D23F6947A6A}"/>
    <cellStyle name="Percent 2 53" xfId="2638" xr:uid="{47AD465D-2A79-4C63-8876-D7E360651A04}"/>
    <cellStyle name="Percent 2 54" xfId="2639" xr:uid="{12E1EC14-A909-4C9D-B98E-703A818E785F}"/>
    <cellStyle name="Percent 2 55" xfId="2640" xr:uid="{61FAE18D-0112-411A-AB27-E2EF374C0D22}"/>
    <cellStyle name="Percent 2 56" xfId="2641" xr:uid="{126B5A5B-A2F6-40DD-BC1F-7255C073786D}"/>
    <cellStyle name="Percent 2 57" xfId="2642" xr:uid="{CA797943-A012-482F-8D16-51CF221ACC88}"/>
    <cellStyle name="Percent 2 58" xfId="2643" xr:uid="{0279EB32-0AB6-4401-A3AF-3444EB39DEF1}"/>
    <cellStyle name="Percent 2 59" xfId="2644" xr:uid="{7AB620CC-439A-43DF-A19F-67EED81ACB26}"/>
    <cellStyle name="Percent 2 6" xfId="2645" xr:uid="{1ABE9545-9F02-43DA-876E-A2DEADE384CE}"/>
    <cellStyle name="Percent 2 60" xfId="2646" xr:uid="{CDF9CA3A-A7CB-4FE2-8413-EB5B8AEF6DAA}"/>
    <cellStyle name="Percent 2 61" xfId="2647" xr:uid="{A013B10A-1982-4842-A5EB-E738A0C1C76D}"/>
    <cellStyle name="Percent 2 62" xfId="2648" xr:uid="{48A23DD4-2EF0-492A-972A-63DEBD032E08}"/>
    <cellStyle name="Percent 2 63" xfId="2649" xr:uid="{12EC7EDD-621A-4B87-9EB3-1981F18B0625}"/>
    <cellStyle name="Percent 2 64" xfId="2650" xr:uid="{ED2DB748-DB14-4A39-880F-AF478F805489}"/>
    <cellStyle name="Percent 2 65" xfId="2651" xr:uid="{4A4FD251-E892-4A47-9018-6BC22FA9306F}"/>
    <cellStyle name="Percent 2 7" xfId="2652" xr:uid="{777E794E-2541-4786-BAFC-7C6DDC7E1DFB}"/>
    <cellStyle name="Percent 2 8" xfId="2653" xr:uid="{2F60B805-933E-446B-B330-8A348700C165}"/>
    <cellStyle name="Percent 2 9" xfId="2654" xr:uid="{0BAC53DD-76FE-442E-B399-900E5B4D88B2}"/>
    <cellStyle name="Percent 3" xfId="2655" xr:uid="{2A15FF54-0B3B-42B8-A5D8-2960EA1BC2C5}"/>
    <cellStyle name="Percent 3 2" xfId="7056" xr:uid="{2AB4FAC8-6468-4F09-AC67-28116B0FC5B5}"/>
    <cellStyle name="Percent 4" xfId="2656" xr:uid="{A9105C1A-5879-4D08-987B-258DE3340D81}"/>
    <cellStyle name="Percent 4 2" xfId="2657" xr:uid="{A0565A2B-BF74-4C57-9ECF-6B43C72B6438}"/>
    <cellStyle name="Percent 4 3" xfId="7057" xr:uid="{FD7B9D5F-81D3-48CD-A5E5-253A27BE726F}"/>
    <cellStyle name="Percent 5" xfId="2658" xr:uid="{27A2132B-409A-464D-A25B-BA721439876D}"/>
    <cellStyle name="Percent 5 2" xfId="2659" xr:uid="{BECAF699-F1C2-4D49-A502-BCB47B94E0F3}"/>
    <cellStyle name="Percent 5 3" xfId="7058" xr:uid="{D015D0EC-94B0-4174-B74B-1F653565C53E}"/>
    <cellStyle name="Percent 6" xfId="2660" xr:uid="{50F2C2CA-3839-4D61-8468-0C469C1F19BE}"/>
    <cellStyle name="Percent 6 2" xfId="2661" xr:uid="{40A2D39D-5E15-4A86-A1D9-1E0880A790E3}"/>
    <cellStyle name="Percent 6 3" xfId="7059" xr:uid="{B2A5715C-E844-4E18-A6A8-A2A9BF17092E}"/>
    <cellStyle name="Percent 7" xfId="2662" xr:uid="{03EDAED8-3CB4-4243-A793-BFF8FDEC8841}"/>
    <cellStyle name="Percent 7 2" xfId="2663" xr:uid="{01D13138-8423-4292-BFC4-96AA7FA3F083}"/>
    <cellStyle name="Percent 7 3" xfId="7060" xr:uid="{A5EC25C7-2BCD-4124-9C15-635E7CC5CBEE}"/>
    <cellStyle name="Percent 8" xfId="2664" xr:uid="{093638C3-CAE3-4611-AEB8-6298C5411993}"/>
    <cellStyle name="Percent 9" xfId="2665" xr:uid="{8E9DFA35-5FC1-4CB1-B6F1-9C72F2259719}"/>
    <cellStyle name="Percent[0]" xfId="7061" xr:uid="{FFF2F40D-3622-4E57-936A-B3FCBD10B250}"/>
    <cellStyle name="Percent[0] 2" xfId="7062" xr:uid="{4743EBD4-3022-4F5A-9B1C-AA88BBB6A9DC}"/>
    <cellStyle name="Percent[2]" xfId="7063" xr:uid="{045712BB-A014-43D0-9A2D-AB6A8876D6DB}"/>
    <cellStyle name="Percent[2] 2" xfId="7064" xr:uid="{F852D40D-BACB-475E-A386-C20B3BE98429}"/>
    <cellStyle name="percent0" xfId="3347" xr:uid="{C16D6595-D8FC-4515-84CE-A36D5DE92130}"/>
    <cellStyle name="percent1" xfId="3348" xr:uid="{EFE5CDDC-5823-4925-8373-867C590529DC}"/>
    <cellStyle name="Percentage" xfId="3349" xr:uid="{00AE3762-B47D-4D77-9654-AF2805DC5306}"/>
    <cellStyle name="PercentChange" xfId="2666" xr:uid="{00832C6B-6A88-4B0F-9F09-84D6661E8092}"/>
    <cellStyle name="PlainDollarBoldwBorders" xfId="7065" xr:uid="{DE065CCC-D38C-4EE6-AD21-E48B8A7C88DB}"/>
    <cellStyle name="PlainDollarBoldwBorders 2" xfId="7066" xr:uid="{0D1BB907-B361-43D9-968A-895DDE1BBF52}"/>
    <cellStyle name="plus" xfId="3350" xr:uid="{09979B9C-398F-4BCA-A3F8-ECE36645A7B8}"/>
    <cellStyle name="plusnorm" xfId="3351" xr:uid="{32D4CA46-9CCB-443D-A5C8-B90222A67B7E}"/>
    <cellStyle name="pluspct" xfId="3352" xr:uid="{770D824F-F2F8-4A43-9CC6-688F3B0FFA10}"/>
    <cellStyle name="PrePop Currency (0)" xfId="7067" xr:uid="{FCAED064-189E-4FFE-893E-986E26FED69E}"/>
    <cellStyle name="PrePop Currency (0) 2" xfId="7068" xr:uid="{9DA90D2F-FC54-4472-A049-C90004330A13}"/>
    <cellStyle name="PrePop Currency (0) 3" xfId="7069" xr:uid="{D91D1311-1CA7-47C9-9CE5-80726C851039}"/>
    <cellStyle name="PrePop Currency (0) 4" xfId="7070" xr:uid="{9F12C03B-9E44-471D-9091-4C6DC8D6ED8B}"/>
    <cellStyle name="PrePop Currency (0) 5" xfId="7071" xr:uid="{0C4198FA-A0D8-4C25-8F95-DECE4783B6F5}"/>
    <cellStyle name="PrePop Currency (0) 6" xfId="7072" xr:uid="{3306F1A0-50CC-4046-80E1-F7A313FD1EFB}"/>
    <cellStyle name="PrePop Currency (0) 7" xfId="7073" xr:uid="{888BA798-16FD-4405-9271-9E8CA397AA07}"/>
    <cellStyle name="PrePop Currency (0) 8" xfId="7074" xr:uid="{3586F5F3-877D-4EE9-864D-BB6DC05FACA0}"/>
    <cellStyle name="PrePop Currency (2)" xfId="7075" xr:uid="{49AC7191-63AD-4545-9238-EBCE3D37ECBF}"/>
    <cellStyle name="PrePop Currency (2) 2" xfId="7076" xr:uid="{61B9B261-8883-45D6-BB8B-80D6CB18A0A6}"/>
    <cellStyle name="PrePop Currency (2) 3" xfId="7077" xr:uid="{F010F4BE-638B-4E67-A754-7ED4659B715E}"/>
    <cellStyle name="PrePop Currency (2) 4" xfId="7078" xr:uid="{80B5CAC0-65B0-4673-BCDA-DD9941087326}"/>
    <cellStyle name="PrePop Currency (2) 5" xfId="7079" xr:uid="{A7A41D19-875A-48F1-BBE7-33A96960E5C4}"/>
    <cellStyle name="PrePop Currency (2) 6" xfId="7080" xr:uid="{A49F60FC-CB71-49CA-8CBA-E96E0EBB5A8A}"/>
    <cellStyle name="PrePop Currency (2) 7" xfId="7081" xr:uid="{1FEA11ED-41FB-4167-AA4F-7E5E167E754F}"/>
    <cellStyle name="PrePop Currency (2) 8" xfId="7082" xr:uid="{1B8F7B5C-C603-4FC5-94A6-CD61C2EC017B}"/>
    <cellStyle name="PrePop Units (0)" xfId="7083" xr:uid="{D6B546B6-94BC-446E-AB6C-D1BFEBDADA08}"/>
    <cellStyle name="PrePop Units (0) 2" xfId="7084" xr:uid="{798B00C0-259A-4339-BD83-3A6344CC087E}"/>
    <cellStyle name="PrePop Units (0) 3" xfId="7085" xr:uid="{EF5CFB38-21F9-4A97-A6EF-9AA60B4EF621}"/>
    <cellStyle name="PrePop Units (0) 4" xfId="7086" xr:uid="{822A0301-3FF7-4B0F-B1E1-E4AD1C0C6534}"/>
    <cellStyle name="PrePop Units (0) 5" xfId="7087" xr:uid="{01F336FC-D663-467F-94B7-9043FA8BAF1C}"/>
    <cellStyle name="PrePop Units (0) 6" xfId="7088" xr:uid="{70783066-F381-409F-9869-BB9DD0A634B7}"/>
    <cellStyle name="PrePop Units (0) 7" xfId="7089" xr:uid="{94A74A7A-BB0E-42B0-BEE0-027B6B2802BA}"/>
    <cellStyle name="PrePop Units (0) 8" xfId="7090" xr:uid="{C083D6D4-66D1-4405-8FBD-FC772EE16B06}"/>
    <cellStyle name="PrePop Units (1)" xfId="7091" xr:uid="{1985A7B2-9ECD-4677-AE8D-7CAFFF9A02C9}"/>
    <cellStyle name="PrePop Units (1) 2" xfId="7092" xr:uid="{DE885536-262A-400E-9B04-92BB62949007}"/>
    <cellStyle name="PrePop Units (1) 3" xfId="7093" xr:uid="{AEFEB74E-8FB2-4142-A149-E68FB339D283}"/>
    <cellStyle name="PrePop Units (1) 4" xfId="7094" xr:uid="{A3A8511D-C8B5-4D23-8430-63275B641ED5}"/>
    <cellStyle name="PrePop Units (1) 5" xfId="7095" xr:uid="{71DB0B88-45AE-467D-BFC2-1CF478E4B939}"/>
    <cellStyle name="PrePop Units (1) 6" xfId="7096" xr:uid="{98BCA7B8-0945-4088-BE6A-4355815CC5B2}"/>
    <cellStyle name="PrePop Units (1) 7" xfId="7097" xr:uid="{43565646-97E9-4C7E-8BAF-F8909B29D09F}"/>
    <cellStyle name="PrePop Units (1) 8" xfId="7098" xr:uid="{D58A9B6B-6F50-44DC-9B49-90B04160EEFC}"/>
    <cellStyle name="PrePop Units (2)" xfId="7099" xr:uid="{E88E5246-8CA8-4667-9CA1-519041EB80FF}"/>
    <cellStyle name="PrePop Units (2) 2" xfId="7100" xr:uid="{1A010385-9C07-4F4F-A097-830AF62F3E68}"/>
    <cellStyle name="PrePop Units (2) 3" xfId="7101" xr:uid="{F9C09221-7C97-46B7-ACCA-8997DC34B776}"/>
    <cellStyle name="PrePop Units (2) 4" xfId="7102" xr:uid="{2AAB09B1-2AD6-41E5-967F-E9EC68FCAA5C}"/>
    <cellStyle name="PrePop Units (2) 5" xfId="7103" xr:uid="{75B90DCC-38D2-4FFA-805A-485B7E41E24F}"/>
    <cellStyle name="PrePop Units (2) 6" xfId="7104" xr:uid="{77FAFC30-D088-4993-A12B-B5AB6C691D1F}"/>
    <cellStyle name="PrePop Units (2) 7" xfId="7105" xr:uid="{D81B085D-65C1-4574-BEF3-6C233EADA9BF}"/>
    <cellStyle name="PrePop Units (2) 8" xfId="7106" xr:uid="{B3FDA689-9771-4C3B-896D-29B0E09DAADA}"/>
    <cellStyle name="Price" xfId="2667" xr:uid="{43C1B2A7-236F-4F25-97CB-2A69B4E5D0A2}"/>
    <cellStyle name="Procentowy 2" xfId="8207" xr:uid="{480CC373-BE17-D848-888E-0AA3B33ABB60}"/>
    <cellStyle name="ProtectedDates" xfId="7107" xr:uid="{82A3B1D9-F150-42E5-B101-8EA0434F8C31}"/>
    <cellStyle name="PSChar" xfId="7108" xr:uid="{0E651CAB-A075-40E7-9A6E-8A559752F023}"/>
    <cellStyle name="PSChar 2" xfId="7109" xr:uid="{731380BC-9203-4B64-A875-D3D7AA1F4188}"/>
    <cellStyle name="PSDate" xfId="7110" xr:uid="{BFBE80B6-34FA-4FA9-93DF-4AA16B514290}"/>
    <cellStyle name="PSDate 2" xfId="7111" xr:uid="{3112E638-26F3-4D94-A1D2-A45028C05C94}"/>
    <cellStyle name="PSDec" xfId="7112" xr:uid="{474B312D-CFA8-477C-BD48-AC207557A805}"/>
    <cellStyle name="PSDec 2" xfId="7113" xr:uid="{7D282D40-5F0F-4AF7-AA35-991B67CDB5E4}"/>
    <cellStyle name="PSHeading" xfId="7114" xr:uid="{026581D1-BCED-4DE7-A71D-E92FDC42DD69}"/>
    <cellStyle name="PSHeading 2" xfId="7115" xr:uid="{FC800029-50F9-4207-B0FF-0AE119E3C2CE}"/>
    <cellStyle name="PSInt" xfId="7116" xr:uid="{4744DE2D-DA74-46D8-BE68-FFE46FC74A03}"/>
    <cellStyle name="PSInt 2" xfId="7117" xr:uid="{3E437535-5255-436C-8D35-DF6BAACBAC03}"/>
    <cellStyle name="PSSpacer" xfId="7118" xr:uid="{DB2F6A00-4DCC-4D97-B9C8-6661371DDDBF}"/>
    <cellStyle name="PSSpacer 2" xfId="7119" xr:uid="{B49AFFB3-2DAD-40EC-AE89-594025963777}"/>
    <cellStyle name="r" xfId="3353" xr:uid="{16746FB4-54C7-46C6-A7A7-D1D6F7FD4263}"/>
    <cellStyle name="r_Chariot_Model_Update16" xfId="3354" xr:uid="{806C2A21-C85F-4D40-84F6-DAC952848730}"/>
    <cellStyle name="r_LBO Model 2" xfId="3355" xr:uid="{45155074-5134-4FFB-B2C1-BC0115D2858B}"/>
    <cellStyle name="r_One Pager v13" xfId="3356" xr:uid="{A06A5018-6D5D-423F-9B2E-48308BCFCFA7}"/>
    <cellStyle name="r_Paragon-Diamond Model 4" xfId="3357" xr:uid="{7EE2501E-2FC2-48CA-AC5D-01CD06EE99AD}"/>
    <cellStyle name="RatioX" xfId="2668" xr:uid="{4B1745FA-A142-4944-8813-7F7639B20DA6}"/>
    <cellStyle name="RED" xfId="7120" xr:uid="{BDD66A52-E491-4461-8DB3-8F54429B8D4B}"/>
    <cellStyle name="RED 2" xfId="7121" xr:uid="{00DD69B5-21AA-46D9-8F5C-5D48AA907CF5}"/>
    <cellStyle name="RED 3" xfId="7122" xr:uid="{22742693-F6FE-49E1-9ED4-0BACE0780D20}"/>
    <cellStyle name="RED 4" xfId="7123" xr:uid="{B2CED4C4-7A2D-409D-98E4-A7852820A447}"/>
    <cellStyle name="RED 5" xfId="7124" xr:uid="{758A611B-5871-4742-B3A5-C1C039F071A6}"/>
    <cellStyle name="RED 6" xfId="7125" xr:uid="{87B94166-2A1E-449A-93FB-2DBF47ED17FF}"/>
    <cellStyle name="Restruct" xfId="7126" xr:uid="{E852E307-C233-4DF3-AF0A-C6B21A338246}"/>
    <cellStyle name="Reuters Cells" xfId="2669" xr:uid="{A7F405C1-B803-4F14-9914-0BC82EAAB422}"/>
    <cellStyle name="Reuters Cells 2" xfId="7128" xr:uid="{CCD3E06D-59F5-4213-939B-201C467F1FA2}"/>
    <cellStyle name="Reuters Cells 2 2" xfId="7816" xr:uid="{22F4665F-0B96-4F52-8AC1-BB82819A6C37}"/>
    <cellStyle name="Reuters Cells 2 2 2" xfId="8052" xr:uid="{30D1B807-EAC6-4E46-BBB4-6B2FF751AD32}"/>
    <cellStyle name="Reuters Cells 2 2 3" xfId="8054" xr:uid="{EFB4CD31-D73B-4859-B6AE-6C2EEBA40907}"/>
    <cellStyle name="Reuters Cells 2 2 4" xfId="8085" xr:uid="{8A093F38-65C3-4523-9BA8-CE00CC862183}"/>
    <cellStyle name="Reuters Cells 2 2 5" xfId="8115" xr:uid="{A0EFB72D-C8BB-462C-BEFC-8EF3DF7068E2}"/>
    <cellStyle name="Reuters Cells 2 2 6" xfId="8142" xr:uid="{768F7557-9E2A-4914-A12F-736E86C11EED}"/>
    <cellStyle name="Reuters Cells 2 2 7" xfId="8172" xr:uid="{711C95B0-CD50-4359-B385-D5F73D133F92}"/>
    <cellStyle name="Reuters Cells 2 2 8" xfId="8202" xr:uid="{D55E8D56-57C2-4C05-B21B-C032C240086C}"/>
    <cellStyle name="Reuters Cells 2 3" xfId="7822" xr:uid="{9F714157-8CDA-4C79-88A7-6AA7074991B1}"/>
    <cellStyle name="Reuters Cells 2 4" xfId="7898" xr:uid="{58F6A28B-8476-43FB-8A2E-4E30AC192960}"/>
    <cellStyle name="Reuters Cells 2 5" xfId="7826" xr:uid="{D1B5BC5A-CD03-4FAA-B1F4-0CB3C5A7FE72}"/>
    <cellStyle name="Reuters Cells 2 6" xfId="7942" xr:uid="{1C291C74-B6F3-42AB-B5F9-9BA5A6606D79}"/>
    <cellStyle name="Reuters Cells 2 7" xfId="7902" xr:uid="{0D14F2E1-B279-43EA-A72B-3CC0F50C3CE6}"/>
    <cellStyle name="Reuters Cells 2 8" xfId="7928" xr:uid="{2EFAD662-8813-4B6E-9CF9-7D8ADB475053}"/>
    <cellStyle name="Reuters Cells 3" xfId="7127" xr:uid="{1793B4A8-4F01-4619-9CAB-AB3B4F443D7B}"/>
    <cellStyle name="Reuters Cells 3 2" xfId="8000" xr:uid="{595505CF-EAD6-455A-88A8-FDE7BC27FB17}"/>
    <cellStyle name="Reuters Cells 3 3" xfId="8009" xr:uid="{EFD6A81A-17DA-4141-B15B-316628C1D090}"/>
    <cellStyle name="Reuters Cells 3 4" xfId="7969" xr:uid="{C7C284E0-3753-4ECD-A8DB-9B978A51EF80}"/>
    <cellStyle name="Reuters Cells 3 5" xfId="7909" xr:uid="{32816232-9E4C-4E86-ADBC-98461A96C5D3}"/>
    <cellStyle name="Reuters Cells 3 6" xfId="7842" xr:uid="{B7CA3E86-8931-48C5-82E6-BBFF6410B8E5}"/>
    <cellStyle name="Reuters Cells 3 7" xfId="7919" xr:uid="{F7DD3468-D57D-48DF-86F7-FB126F6F3DFD}"/>
    <cellStyle name="Reuters Cells 3 8" xfId="7926" xr:uid="{DC918C94-587A-4DD4-A94B-D00F41EAF4CD}"/>
    <cellStyle name="Reuters Cells 3 9" xfId="7929" xr:uid="{9F81CF7A-41CD-4714-9370-A1436295E706}"/>
    <cellStyle name="Reuters Cells 4" xfId="7815" xr:uid="{1256CF6A-41D3-491C-9831-85F3DAB65D0B}"/>
    <cellStyle name="Reuters Cells 4 2" xfId="8051" xr:uid="{69ED3824-F9BC-41BD-887B-739C1C376A47}"/>
    <cellStyle name="Reuters Cells 4 3" xfId="8053" xr:uid="{FF2D3036-C3C6-4AAD-B808-D897421A8A85}"/>
    <cellStyle name="Reuters Cells 4 4" xfId="8084" xr:uid="{25F186BE-ECA9-46F0-B204-EA0FF3E965D4}"/>
    <cellStyle name="Reuters Cells 4 5" xfId="8114" xr:uid="{3D29D03B-2916-4C6C-9405-BCA182CBF18A}"/>
    <cellStyle name="Reuters Cells 4 6" xfId="8141" xr:uid="{1B32D1DC-A69D-4A35-A2CC-44DF8E618440}"/>
    <cellStyle name="Reuters Cells 4 7" xfId="8171" xr:uid="{DD7F23E2-8146-4477-B1AC-B269A80C4B94}"/>
    <cellStyle name="Reuters Cells 4 8" xfId="8201" xr:uid="{F84A7855-284E-4057-B4E2-5B4F19861EC8}"/>
    <cellStyle name="Salomon Logo" xfId="7129" xr:uid="{E07131DE-297E-4E62-B4E4-65A0FB5382D1}"/>
    <cellStyle name="ScripFactor" xfId="2670" xr:uid="{CDD3AC8A-0B96-4D8C-A973-1D516D3D7143}"/>
    <cellStyle name="SectionHeaderNormal" xfId="2671" xr:uid="{0F52764A-FAA0-4D52-A69B-5C5B4CDDCEE9}"/>
    <cellStyle name="SectionHeaderNormal 2" xfId="2672" xr:uid="{4B05473D-3840-48FF-9311-743B03A9F598}"/>
    <cellStyle name="SectionHeading" xfId="2673" xr:uid="{510BB5E3-0EAE-4FE7-A8C6-68E4BEE2F2B2}"/>
    <cellStyle name="ShadedCells_Database" xfId="2674" xr:uid="{8CEE10D2-1CC7-44A5-9C22-39088C30D4AD}"/>
    <cellStyle name="Sheet Title" xfId="2675" xr:uid="{C3626BD8-FA50-481B-A36C-7B40A4178B2D}"/>
    <cellStyle name="STANDARD" xfId="7130" xr:uid="{F45D75BE-34AC-4FED-B7C0-AFF6C9A9986B}"/>
    <cellStyle name="STANDARD 2" xfId="7131" xr:uid="{06D07742-0A56-4309-831C-31927395DF04}"/>
    <cellStyle name="STANDARD 3" xfId="7132" xr:uid="{10CA1B40-221C-4E49-808F-E04107B3BCF8}"/>
    <cellStyle name="STANDARD 4" xfId="7133" xr:uid="{84E4950A-C67C-404E-91EE-A986BB8E5B0F}"/>
    <cellStyle name="STANDARD 5" xfId="7134" xr:uid="{B32B6A25-4977-422D-8030-B601ECE31EE7}"/>
    <cellStyle name="STANDARD 6" xfId="7135" xr:uid="{232098AD-3138-45E5-A6BF-EA827CCA4DD9}"/>
    <cellStyle name="STANDARD 7" xfId="7136" xr:uid="{D10155AF-5312-44B2-A54D-14561350BDF1}"/>
    <cellStyle name="STANDARD 8" xfId="7137" xr:uid="{3B279F21-CB49-4D4A-A632-817834C4B419}"/>
    <cellStyle name="Style 1" xfId="2676" xr:uid="{E864D1C3-027C-429E-9BDC-6BE243EE19EB}"/>
    <cellStyle name="Style 1 10" xfId="2677" xr:uid="{A7F21B00-5E8A-48DF-BD37-0B1C01A79BE6}"/>
    <cellStyle name="Style 1 11" xfId="2678" xr:uid="{4DFA20EB-CBA2-4234-A638-DBB8BDD7F87B}"/>
    <cellStyle name="Style 1 12" xfId="2679" xr:uid="{83E3E9C6-D6D2-479A-8DFB-692BA7FF040D}"/>
    <cellStyle name="Style 1 13" xfId="2680" xr:uid="{6837F836-66D8-4496-9941-3A86BE26C273}"/>
    <cellStyle name="Style 1 14" xfId="2681" xr:uid="{4A11ECFB-A82B-43FF-9834-C8BF8C05C738}"/>
    <cellStyle name="Style 1 15" xfId="2682" xr:uid="{62E64D87-1566-4AE7-90BC-5EA1081C754E}"/>
    <cellStyle name="Style 1 16" xfId="2683" xr:uid="{533F9744-33B4-410E-A1CF-C47177DB8D3E}"/>
    <cellStyle name="Style 1 17" xfId="2684" xr:uid="{BFFB0DD9-79CD-4B0E-839A-BC91329DF7DE}"/>
    <cellStyle name="Style 1 18" xfId="2685" xr:uid="{405A93EC-3FF2-4450-A1D0-D169E7FDEAB4}"/>
    <cellStyle name="Style 1 19" xfId="2686" xr:uid="{6406A128-E623-492D-AADE-BB0F7444031A}"/>
    <cellStyle name="Style 1 2" xfId="2687" xr:uid="{90A17718-729D-4102-8C9B-DC9D9FD3731D}"/>
    <cellStyle name="Style 1 2 2" xfId="7138" xr:uid="{DFA832FD-ADB6-4788-8049-48CFB2289F86}"/>
    <cellStyle name="Style 1 20" xfId="2688" xr:uid="{98B4EA89-6E7E-4760-83A3-003677ED434A}"/>
    <cellStyle name="Style 1 21" xfId="2689" xr:uid="{8C93CDCE-06ED-47BE-A220-5D9185214F90}"/>
    <cellStyle name="Style 1 22" xfId="2690" xr:uid="{B13B5BBB-5A8D-40A0-BF11-818270CF695B}"/>
    <cellStyle name="Style 1 23" xfId="2691" xr:uid="{816349AB-2B87-4DE9-9D4E-E4C93DCD470D}"/>
    <cellStyle name="Style 1 24" xfId="2692" xr:uid="{01102B45-8A05-4EAA-94E2-16B946004A01}"/>
    <cellStyle name="Style 1 25" xfId="2693" xr:uid="{6A66DFAE-D7E1-4D51-879E-467C3C9DA665}"/>
    <cellStyle name="Style 1 26" xfId="2694" xr:uid="{BD61BB6C-E79A-4BC8-964C-AD1ECF9ED727}"/>
    <cellStyle name="Style 1 27" xfId="2695" xr:uid="{AB484494-24C7-49C2-BB13-791976D72EE3}"/>
    <cellStyle name="Style 1 28" xfId="2696" xr:uid="{DC6C421A-9EE6-40B2-ADAC-B0E4D440EBBC}"/>
    <cellStyle name="Style 1 29" xfId="2697" xr:uid="{20B2802D-C115-4B25-9586-C99696C901AF}"/>
    <cellStyle name="Style 1 3" xfId="2698" xr:uid="{BB0F99F1-329B-45F2-B62E-0F55C28FB7FB}"/>
    <cellStyle name="Style 1 4" xfId="2699" xr:uid="{7E30D1DF-E352-427D-8F2E-70182AFD7A7F}"/>
    <cellStyle name="Style 1 5" xfId="2700" xr:uid="{A7CEFE9B-C7C0-43D4-A8FE-80E5C97E61DF}"/>
    <cellStyle name="Style 1 6" xfId="2701" xr:uid="{6B865076-ADD6-4BDC-B843-B0C1970252C4}"/>
    <cellStyle name="Style 1 7" xfId="2702" xr:uid="{23ACD1BC-1EEB-43F0-81C7-895B6DA47832}"/>
    <cellStyle name="Style 1 8" xfId="2703" xr:uid="{88D6F3D3-9341-4F3E-A909-855696F496F6}"/>
    <cellStyle name="Style 1 9" xfId="2704" xr:uid="{D84C16DE-4DE1-44DD-8428-98983A06A25D}"/>
    <cellStyle name="Style 21" xfId="2705" xr:uid="{631F6A6F-B738-44FF-BBC9-A67679874F6A}"/>
    <cellStyle name="Style 21 10" xfId="2706" xr:uid="{3290CF57-9318-4208-BC5B-967CCB38AB19}"/>
    <cellStyle name="Style 21 11" xfId="2707" xr:uid="{3920769E-ED53-4F49-B94A-BA6598E66C39}"/>
    <cellStyle name="Style 21 12" xfId="2708" xr:uid="{91B589E4-23CA-4FEF-80D9-CC74E719887B}"/>
    <cellStyle name="Style 21 13" xfId="2709" xr:uid="{419EDDBC-4FAC-44CE-B3FC-911BB5EA1347}"/>
    <cellStyle name="Style 21 14" xfId="2710" xr:uid="{B895569E-7E79-42F9-A8B3-63B13E90ACE7}"/>
    <cellStyle name="Style 21 15" xfId="2711" xr:uid="{19F59D19-D51D-485A-B6CE-3EB50F89D8E1}"/>
    <cellStyle name="Style 21 16" xfId="2712" xr:uid="{7147D542-4E5E-40B9-916C-28CAB78E4CB0}"/>
    <cellStyle name="Style 21 17" xfId="2713" xr:uid="{3949639B-8FB2-4B62-99E5-22A9D15075CF}"/>
    <cellStyle name="Style 21 18" xfId="2714" xr:uid="{7ACD35F1-E497-4F68-B804-6C8B64F55DAB}"/>
    <cellStyle name="Style 21 19" xfId="2715" xr:uid="{6D4E6F4F-DA2E-408F-9B93-A71439C9C11F}"/>
    <cellStyle name="Style 21 2" xfId="2716" xr:uid="{218C0EF8-BF19-4F11-9DB5-94D63627207E}"/>
    <cellStyle name="Style 21 2 10" xfId="2717" xr:uid="{199C3810-E986-42D5-AD39-7555A1C2C894}"/>
    <cellStyle name="Style 21 2 11" xfId="2718" xr:uid="{435D6359-FD48-4A77-BE0D-7B0CF11B7225}"/>
    <cellStyle name="Style 21 2 12" xfId="2719" xr:uid="{ECE42822-27E8-47CF-954F-78944B13EBDB}"/>
    <cellStyle name="Style 21 2 13" xfId="2720" xr:uid="{8E0A65BF-0E1B-49C7-9BBC-53559FA3C910}"/>
    <cellStyle name="Style 21 2 14" xfId="2721" xr:uid="{81731C6B-82FD-42A3-940E-FB2121B1AF8A}"/>
    <cellStyle name="Style 21 2 15" xfId="2722" xr:uid="{AC4B31A7-D702-45E4-A363-09ED2DC0F526}"/>
    <cellStyle name="Style 21 2 16" xfId="2723" xr:uid="{DACB2DA4-BE40-4FCC-8A2E-DC7B9760F2FE}"/>
    <cellStyle name="Style 21 2 17" xfId="2724" xr:uid="{FC5D4F23-100C-4B1F-B510-143E92369EF8}"/>
    <cellStyle name="Style 21 2 18" xfId="2725" xr:uid="{F43FB678-E001-4950-8F7A-E243203A8085}"/>
    <cellStyle name="Style 21 2 19" xfId="2726" xr:uid="{DE4CCCFC-2D62-4495-BAB3-40C7EA60B9E9}"/>
    <cellStyle name="Style 21 2 2" xfId="2727" xr:uid="{A4FAF61C-42D6-40DE-AF09-8FB7062738B8}"/>
    <cellStyle name="Style 21 2 20" xfId="2728" xr:uid="{FA64BED8-40BF-4F33-AA7A-8C021E2DC579}"/>
    <cellStyle name="Style 21 2 21" xfId="2729" xr:uid="{5AA5151A-6899-4178-B932-52DC5BBD26A1}"/>
    <cellStyle name="Style 21 2 22" xfId="2730" xr:uid="{F6C86F8E-EDD5-4C77-9760-E87CB54701D4}"/>
    <cellStyle name="Style 21 2 23" xfId="2731" xr:uid="{656E3A4E-7A88-4866-9E2F-204EA03E8C35}"/>
    <cellStyle name="Style 21 2 24" xfId="2732" xr:uid="{745E5B55-74BE-40F5-A1AA-896EEF98A579}"/>
    <cellStyle name="Style 21 2 3" xfId="2733" xr:uid="{EE85E8C5-7512-4F28-B3E5-6202F42898C8}"/>
    <cellStyle name="Style 21 2 4" xfId="2734" xr:uid="{4CCF0306-9A62-4C3E-8D97-87A46629EB48}"/>
    <cellStyle name="Style 21 2 5" xfId="2735" xr:uid="{7748EDD6-B163-49A3-B86F-96C4860494C3}"/>
    <cellStyle name="Style 21 2 6" xfId="2736" xr:uid="{C7C1876E-F3F5-4FAB-A948-FC06B4340B15}"/>
    <cellStyle name="Style 21 2 7" xfId="2737" xr:uid="{66CD8C00-7341-4008-A18A-F354B8084F00}"/>
    <cellStyle name="Style 21 2 8" xfId="2738" xr:uid="{BF2B6A5E-E57C-4E52-AF7B-BCD20A294326}"/>
    <cellStyle name="Style 21 2 9" xfId="2739" xr:uid="{DE73C329-AD81-4C5A-B5FB-757365E32821}"/>
    <cellStyle name="Style 21 20" xfId="2740" xr:uid="{258DE3D8-C9AD-4A9A-B3B4-60B20EE18C9F}"/>
    <cellStyle name="Style 21 21" xfId="2741" xr:uid="{93FA0062-0042-47D5-9D7A-0C3D9E3EF8DC}"/>
    <cellStyle name="Style 21 22" xfId="2742" xr:uid="{5CC1B23B-1C1F-436F-941F-65BA9F8569A7}"/>
    <cellStyle name="Style 21 23" xfId="2743" xr:uid="{140BC394-A575-4DAA-AF9D-B5F6D30A6E1C}"/>
    <cellStyle name="Style 21 24" xfId="2744" xr:uid="{C73202C9-BCEA-4D50-AE17-A0D317224346}"/>
    <cellStyle name="Style 21 25" xfId="2745" xr:uid="{AA88966C-CACF-4B6C-A937-8A9DAC536D6A}"/>
    <cellStyle name="Style 21 26" xfId="2746" xr:uid="{E34EE2DA-72A2-4E34-8B4E-6ADDA7B0BCB4}"/>
    <cellStyle name="Style 21 27" xfId="2747" xr:uid="{4953D152-D377-4186-A238-3D765FB13586}"/>
    <cellStyle name="Style 21 28" xfId="2748" xr:uid="{E4B373E7-55BD-4BDA-8510-190F570CA9CD}"/>
    <cellStyle name="Style 21 29" xfId="2749" xr:uid="{A7FC43FB-209F-4C34-A7C0-E9D68365A56A}"/>
    <cellStyle name="Style 21 3" xfId="2750" xr:uid="{A01A3190-BC5A-44DA-AC29-6E74B46E2741}"/>
    <cellStyle name="Style 21 30" xfId="2751" xr:uid="{53536931-E639-4FEF-ABB7-28EB57023C8F}"/>
    <cellStyle name="Style 21 31" xfId="2752" xr:uid="{2569BC49-C809-4994-8683-835682A678D9}"/>
    <cellStyle name="Style 21 32" xfId="2753" xr:uid="{EFFBEDB9-3344-474D-99BA-56ED6E3F4463}"/>
    <cellStyle name="Style 21 33" xfId="2754" xr:uid="{615581E8-F8DF-4236-B7E9-AD112B24AA5D}"/>
    <cellStyle name="Style 21 34" xfId="2755" xr:uid="{904E5D57-C4F9-48CD-8AC6-23103837C5AD}"/>
    <cellStyle name="Style 21 35" xfId="2756" xr:uid="{135FBF23-3F75-41E2-A315-F3B39FDA27E5}"/>
    <cellStyle name="Style 21 36" xfId="2757" xr:uid="{1DDB2C40-5909-4E44-A2FF-693CC29700A5}"/>
    <cellStyle name="Style 21 37" xfId="2758" xr:uid="{1BA32843-8401-4ACA-88BD-0A5BA03F64E3}"/>
    <cellStyle name="Style 21 38" xfId="2759" xr:uid="{D8446D65-41AD-410E-A895-4DD516354307}"/>
    <cellStyle name="Style 21 39" xfId="2760" xr:uid="{B4999400-9650-4691-9F96-7A3DAB9B3BC5}"/>
    <cellStyle name="Style 21 4" xfId="2761" xr:uid="{D03B31BF-3FEA-476B-8096-DC8D126966E6}"/>
    <cellStyle name="Style 21 40" xfId="2762" xr:uid="{8CA272BE-3D48-443A-9911-B3C8586803F4}"/>
    <cellStyle name="Style 21 41" xfId="2763" xr:uid="{DB3CCCB2-6E4F-4B20-80B8-9F00CBEECB78}"/>
    <cellStyle name="Style 21 42" xfId="2764" xr:uid="{51B17C43-E906-44EE-9EB6-EB0249E8F563}"/>
    <cellStyle name="Style 21 43" xfId="2765" xr:uid="{19ACC6AE-4E9F-46BF-B22E-7E3F9CA5F182}"/>
    <cellStyle name="Style 21 44" xfId="2766" xr:uid="{A7ED364A-C312-42B8-B272-443CCA6FD9F0}"/>
    <cellStyle name="Style 21 45" xfId="2767" xr:uid="{B4911A6E-802E-435C-B831-3CB053EBD263}"/>
    <cellStyle name="Style 21 46" xfId="2768" xr:uid="{02025062-87A2-4687-9D4A-1F64BA768D02}"/>
    <cellStyle name="Style 21 47" xfId="2769" xr:uid="{8A855EB6-FC19-44E8-B6C2-049809D25790}"/>
    <cellStyle name="Style 21 48" xfId="2770" xr:uid="{5D9F65E5-B6A9-41CE-B316-E614B9B64ECB}"/>
    <cellStyle name="Style 21 49" xfId="2771" xr:uid="{86C6AFD9-774E-4E22-A5F8-5CCE0F611551}"/>
    <cellStyle name="Style 21 5" xfId="2772" xr:uid="{F01B14A9-1C20-4993-BF92-8AF1099C27A1}"/>
    <cellStyle name="Style 21 50" xfId="2773" xr:uid="{00937CF7-1BD2-4A91-B61F-D734167404CF}"/>
    <cellStyle name="Style 21 51" xfId="2774" xr:uid="{9338D24C-7A2A-4612-A7B6-4600487C6A61}"/>
    <cellStyle name="Style 21 52" xfId="2775" xr:uid="{FBC5E07A-0347-47CE-B969-F8234594486E}"/>
    <cellStyle name="Style 21 53" xfId="2776" xr:uid="{40664149-0904-47CB-A313-D3F191A6F369}"/>
    <cellStyle name="Style 21 54" xfId="2777" xr:uid="{B31A2B60-3BCD-44F7-87C7-273BE67363BF}"/>
    <cellStyle name="Style 21 55" xfId="2778" xr:uid="{D5EFE529-91CB-4041-8F1F-CA740EDE3770}"/>
    <cellStyle name="Style 21 56" xfId="2779" xr:uid="{FD1230CD-B695-4B31-A22B-177CDA8AE0F7}"/>
    <cellStyle name="Style 21 57" xfId="2780" xr:uid="{76956F2D-01C8-4E3D-AAAC-6AE309C654DD}"/>
    <cellStyle name="Style 21 58" xfId="2781" xr:uid="{BB2C36CB-D4D4-4A6E-BB1D-D2BD893BC1C0}"/>
    <cellStyle name="Style 21 59" xfId="2782" xr:uid="{00BF365F-55D8-4E48-B8DC-50C603D34D84}"/>
    <cellStyle name="Style 21 6" xfId="2783" xr:uid="{2F5E2EE6-30E2-47B2-8EA3-9F6CA7CF1F39}"/>
    <cellStyle name="Style 21 60" xfId="2784" xr:uid="{0C4C06BF-8E06-4684-8263-801A5C57938B}"/>
    <cellStyle name="Style 21 61" xfId="2785" xr:uid="{1C6C235D-7397-43AA-98AF-A35AC6C00287}"/>
    <cellStyle name="Style 21 62" xfId="2786" xr:uid="{67A6F4D8-EF6F-4E27-B0ED-4D2D9433F96A}"/>
    <cellStyle name="Style 21 63" xfId="2787" xr:uid="{945A0CF7-1823-4688-8D7B-F9F41CD6C237}"/>
    <cellStyle name="Style 21 64" xfId="2788" xr:uid="{DA1495CC-222E-4CE0-AE7B-9EBA3DFB7E2B}"/>
    <cellStyle name="Style 21 65" xfId="2789" xr:uid="{872CCF7E-F1D0-4DD7-AF56-94D5901B7D52}"/>
    <cellStyle name="Style 21 66" xfId="2790" xr:uid="{3B795605-10D7-42A6-BAA2-CBC4D2F4C502}"/>
    <cellStyle name="Style 21 67" xfId="2791" xr:uid="{9EB9F47D-373E-4E59-9B60-3170ADD88462}"/>
    <cellStyle name="Style 21 68" xfId="2792" xr:uid="{59E641E4-1DB1-4189-9633-F6E0F9B118E7}"/>
    <cellStyle name="Style 21 69" xfId="2793" xr:uid="{98C32DFF-A4C8-4457-B3F8-E3FAF45736C2}"/>
    <cellStyle name="Style 21 7" xfId="2794" xr:uid="{95569331-2B72-40FE-9638-3BED0ACBC964}"/>
    <cellStyle name="Style 21 70" xfId="2795" xr:uid="{A90AA3AC-A63D-4BB3-B3EC-F6B683CB8CE3}"/>
    <cellStyle name="Style 21 71" xfId="2796" xr:uid="{8603FB46-0C76-414E-A2B8-F2F1184EFDE7}"/>
    <cellStyle name="Style 21 72" xfId="2797" xr:uid="{5D7E0FE5-5C87-4B3B-A699-773D394A9677}"/>
    <cellStyle name="Style 21 73" xfId="2798" xr:uid="{752F7524-57AA-4D9A-A7F5-34F82B89F03E}"/>
    <cellStyle name="Style 21 74" xfId="2799" xr:uid="{69DA9E00-8EAA-438A-BFD2-1324513B8209}"/>
    <cellStyle name="Style 21 75" xfId="2800" xr:uid="{CA926526-8276-4FA2-B490-CFA02C8EDFD2}"/>
    <cellStyle name="Style 21 76" xfId="2801" xr:uid="{CD028B5F-D3D8-413E-8994-6B575D90C951}"/>
    <cellStyle name="Style 21 77" xfId="2802" xr:uid="{9AE3C492-ACF7-4E6E-9ABA-D1F5D7912A19}"/>
    <cellStyle name="Style 21 78" xfId="2803" xr:uid="{9C417FD0-8253-4752-948C-BD124B1D87C1}"/>
    <cellStyle name="Style 21 79" xfId="2804" xr:uid="{EC77FA91-C155-4642-923C-4D43B3D416CC}"/>
    <cellStyle name="Style 21 8" xfId="2805" xr:uid="{959E06C8-E1C1-47D2-B979-7D9AC2ECF2B3}"/>
    <cellStyle name="Style 21 80" xfId="2806" xr:uid="{85018FAF-30F5-4761-A601-A9E58CDF3FD0}"/>
    <cellStyle name="Style 21 81" xfId="2807" xr:uid="{2DC00F51-4037-44BD-9837-3EC014601FAB}"/>
    <cellStyle name="Style 21 82" xfId="2808" xr:uid="{7009F3E0-6775-4FD9-8430-BCDFDB2847F0}"/>
    <cellStyle name="Style 21 83" xfId="2809" xr:uid="{074C9818-CABB-4C4A-A78B-4683B9590BF7}"/>
    <cellStyle name="Style 21 84" xfId="2810" xr:uid="{100078D2-7D60-46E2-804E-E9F3A814A8E4}"/>
    <cellStyle name="Style 21 85" xfId="2811" xr:uid="{E1662EC5-786C-4AE6-8049-2B5F58E89888}"/>
    <cellStyle name="Style 21 86" xfId="2812" xr:uid="{F38E37FA-E890-4DEC-9B24-6400E14728DB}"/>
    <cellStyle name="Style 21 87" xfId="2813" xr:uid="{B46F46C7-5C01-49C5-B5DC-9099ABCAD071}"/>
    <cellStyle name="Style 21 9" xfId="2814" xr:uid="{4B586D5A-51DA-4E80-93D7-7C5ECA7AB454}"/>
    <cellStyle name="Style 21_Key Stats (Platform) Insurance" xfId="2815" xr:uid="{2C9D4A49-01F8-4786-AAF3-E5A66C3DFEF9}"/>
    <cellStyle name="Style 22" xfId="2816" xr:uid="{C58FBDFC-5798-4C63-973E-8A64B80898C5}"/>
    <cellStyle name="Style 22 10" xfId="2817" xr:uid="{481425B4-4141-45BA-965F-2EDADF6C2941}"/>
    <cellStyle name="Style 22 11" xfId="2818" xr:uid="{F9143B01-4389-4C57-B052-81958A21E6E5}"/>
    <cellStyle name="Style 22 12" xfId="2819" xr:uid="{B76C8761-6B43-4824-AA07-B9B8B3A9B8E1}"/>
    <cellStyle name="Style 22 13" xfId="2820" xr:uid="{AFCA2548-9DBA-4D61-98A0-A0E35000C7F8}"/>
    <cellStyle name="Style 22 14" xfId="2821" xr:uid="{15D9DC4A-3428-4D15-8EE8-69905F749BAB}"/>
    <cellStyle name="Style 22 15" xfId="2822" xr:uid="{DFC0CB29-6CD4-497C-92EE-BF2F54AFE89F}"/>
    <cellStyle name="Style 22 16" xfId="2823" xr:uid="{28C4F116-7319-4EB9-8421-A865D60888CC}"/>
    <cellStyle name="Style 22 17" xfId="2824" xr:uid="{51C08FA9-A7D7-40B5-9622-814EB1DFA473}"/>
    <cellStyle name="Style 22 18" xfId="2825" xr:uid="{50DC2CF3-1844-4FA0-BB76-7FE7816F6C70}"/>
    <cellStyle name="Style 22 19" xfId="2826" xr:uid="{3BD20E36-07B0-4F83-A085-F1905CAB1C58}"/>
    <cellStyle name="Style 22 2" xfId="2827" xr:uid="{1C170B43-00DF-4FB5-A196-4F587CFF8314}"/>
    <cellStyle name="Style 22 20" xfId="2828" xr:uid="{041C6247-7A80-40B5-8C6E-8B61630B36E4}"/>
    <cellStyle name="Style 22 21" xfId="2829" xr:uid="{C4F20CCE-8465-4CA4-B449-44A5E3A1F6FE}"/>
    <cellStyle name="Style 22 22" xfId="2830" xr:uid="{D3AD9486-6383-44F9-9DD1-DBBE52C4F26C}"/>
    <cellStyle name="Style 22 23" xfId="2831" xr:uid="{B03D40D0-F442-4DE4-846F-4714FDEAF21D}"/>
    <cellStyle name="Style 22 24" xfId="2832" xr:uid="{4AF9908B-21FC-40AB-9BCD-AE4ACD1D2C1B}"/>
    <cellStyle name="Style 22 25" xfId="2833" xr:uid="{0C9AA14E-BEE7-439B-8DC4-6D0D725B26E2}"/>
    <cellStyle name="Style 22 26" xfId="2834" xr:uid="{A9D60167-327B-4C02-A2A6-370242A908D6}"/>
    <cellStyle name="Style 22 27" xfId="2835" xr:uid="{D33F8AF5-8B04-4FDD-98A4-9E475A149F2C}"/>
    <cellStyle name="Style 22 28" xfId="2836" xr:uid="{B9400941-3BCA-4BA0-B5FE-927592FB4D58}"/>
    <cellStyle name="Style 22 29" xfId="2837" xr:uid="{2837B944-6A18-4210-BF57-A7342333E81A}"/>
    <cellStyle name="Style 22 3" xfId="2838" xr:uid="{94A00E56-E443-4D6C-AB48-B2BFDBDB78BA}"/>
    <cellStyle name="Style 22 30" xfId="2839" xr:uid="{4E4B83A1-E20F-49F8-AB89-8680AE61FEC9}"/>
    <cellStyle name="Style 22 31" xfId="2840" xr:uid="{59D8E5B0-32E8-4F60-823E-8A881ABD1D89}"/>
    <cellStyle name="Style 22 32" xfId="2841" xr:uid="{635616DD-AE28-4782-B9B7-810B42465DD2}"/>
    <cellStyle name="Style 22 33" xfId="2842" xr:uid="{C9173CDD-E95F-4F51-8BA0-C0D573A7D2F2}"/>
    <cellStyle name="Style 22 34" xfId="2843" xr:uid="{C009CD78-DC9E-485E-80E1-945BEE720AD0}"/>
    <cellStyle name="Style 22 35" xfId="2844" xr:uid="{76F34D4D-6F0F-462D-BEB9-B4A117836C0E}"/>
    <cellStyle name="Style 22 36" xfId="2845" xr:uid="{9B946C05-0F45-4120-928B-67DC1784F079}"/>
    <cellStyle name="Style 22 37" xfId="2846" xr:uid="{4772F224-19DA-43FC-B25A-03CE49258DDC}"/>
    <cellStyle name="Style 22 38" xfId="2847" xr:uid="{A48306FC-5942-4E65-8048-A2F97DBE0A14}"/>
    <cellStyle name="Style 22 39" xfId="2848" xr:uid="{97AE2847-A73B-4BA8-94F5-1F14E2AF69C6}"/>
    <cellStyle name="Style 22 4" xfId="2849" xr:uid="{7120905E-D073-4EA2-882E-93BBAB8D853F}"/>
    <cellStyle name="Style 22 40" xfId="2850" xr:uid="{61178434-470A-4B37-AFA9-154B4BECFD2E}"/>
    <cellStyle name="Style 22 41" xfId="2851" xr:uid="{D1302A41-CD7F-4FC0-A8DA-FC984A5AF8E9}"/>
    <cellStyle name="Style 22 42" xfId="2852" xr:uid="{FDE89300-8329-4055-8E3D-82E35C5A4DC2}"/>
    <cellStyle name="Style 22 43" xfId="2853" xr:uid="{9801DB0F-7510-47DA-A13C-99486A71BA0B}"/>
    <cellStyle name="Style 22 44" xfId="2854" xr:uid="{6A91F72C-9670-401D-8BAF-481BAD3419F7}"/>
    <cellStyle name="Style 22 45" xfId="2855" xr:uid="{C1BD30B2-B1D3-4399-AC3F-190F1D67F1BD}"/>
    <cellStyle name="Style 22 46" xfId="2856" xr:uid="{68F1950E-5593-47CC-A41A-285AA9B3DEAC}"/>
    <cellStyle name="Style 22 47" xfId="2857" xr:uid="{458CAA03-157A-4945-88F6-554E3118403B}"/>
    <cellStyle name="Style 22 48" xfId="2858" xr:uid="{BA1BFA6A-A702-4FC9-8405-EC324429C38A}"/>
    <cellStyle name="Style 22 49" xfId="2859" xr:uid="{500F7E0E-0A5E-4224-B455-D7F45AA6E731}"/>
    <cellStyle name="Style 22 5" xfId="2860" xr:uid="{3C7ABF8A-4493-4FE6-9831-FD1CDBB5C825}"/>
    <cellStyle name="Style 22 50" xfId="2861" xr:uid="{BE516757-5C11-4F3C-91B6-647BD45B631B}"/>
    <cellStyle name="Style 22 51" xfId="2862" xr:uid="{C740B144-9143-4929-84E3-2E321D8191CC}"/>
    <cellStyle name="Style 22 52" xfId="2863" xr:uid="{5DC23FF6-CBDD-42D3-9EBC-7E385AC1E38C}"/>
    <cellStyle name="Style 22 53" xfId="2864" xr:uid="{EF7031A4-8391-4250-9F26-DF3DA400754F}"/>
    <cellStyle name="Style 22 54" xfId="2865" xr:uid="{FD74B831-2022-4ED9-9FFE-64B74571EAEB}"/>
    <cellStyle name="Style 22 55" xfId="2866" xr:uid="{EE9C419A-55BE-46AE-B4D4-899901B6DB4B}"/>
    <cellStyle name="Style 22 56" xfId="2867" xr:uid="{8F31DC30-71EC-4B93-85C6-9DE83AFF9E92}"/>
    <cellStyle name="Style 22 57" xfId="2868" xr:uid="{100C7111-EB6D-4167-B367-05DF0356A819}"/>
    <cellStyle name="Style 22 58" xfId="2869" xr:uid="{3BC6AE7C-B9DC-4772-8F7A-DA4DE07FA425}"/>
    <cellStyle name="Style 22 59" xfId="2870" xr:uid="{225F66AC-894D-4263-AC29-51E0CC39E3F2}"/>
    <cellStyle name="Style 22 6" xfId="2871" xr:uid="{BE4B06CB-56B3-459C-97D4-B8B952786588}"/>
    <cellStyle name="Style 22 60" xfId="2872" xr:uid="{D53D62B9-A605-4CBC-90C6-E5572F3A0506}"/>
    <cellStyle name="Style 22 61" xfId="2873" xr:uid="{FED33AB5-8177-41AA-AAA3-E25AA99E7655}"/>
    <cellStyle name="Style 22 62" xfId="2874" xr:uid="{A83FDB9C-77A3-462B-BD56-070F60EC01DC}"/>
    <cellStyle name="Style 22 63" xfId="2875" xr:uid="{38754DED-18F7-4CC7-A8B4-B1B8C8FE293B}"/>
    <cellStyle name="Style 22 64" xfId="2876" xr:uid="{0B9A4932-A0D5-4821-9C30-F6B5EDAC4A5C}"/>
    <cellStyle name="Style 22 65" xfId="2877" xr:uid="{89C65C00-4DC0-4FDC-85D8-1C7541FE2AE7}"/>
    <cellStyle name="Style 22 66" xfId="2878" xr:uid="{A8DE1074-3108-44F7-8754-44A499ECEADE}"/>
    <cellStyle name="Style 22 67" xfId="2879" xr:uid="{B1B33D56-30E6-406F-B30E-057A8471CB6E}"/>
    <cellStyle name="Style 22 68" xfId="2880" xr:uid="{2077A637-B172-475A-8C46-CF4E4303245A}"/>
    <cellStyle name="Style 22 69" xfId="2881" xr:uid="{5412D613-990F-4A40-8BBB-F71C202B96EA}"/>
    <cellStyle name="Style 22 7" xfId="2882" xr:uid="{2B5789D3-761E-42D5-B439-87DC1E510ADB}"/>
    <cellStyle name="Style 22 70" xfId="2883" xr:uid="{086703DC-8342-4382-A02B-2895942ED5B4}"/>
    <cellStyle name="Style 22 71" xfId="2884" xr:uid="{7F220AFC-F908-45D3-8365-4EBB14CA0D75}"/>
    <cellStyle name="Style 22 72" xfId="2885" xr:uid="{83DFD3F6-C4BF-4CDC-85B3-049FE476BF1C}"/>
    <cellStyle name="Style 22 73" xfId="2886" xr:uid="{CEAF7218-EE59-4C00-8F1A-4F0D743086B0}"/>
    <cellStyle name="Style 22 74" xfId="2887" xr:uid="{57048881-6AE8-420B-9935-D0242956ED87}"/>
    <cellStyle name="Style 22 75" xfId="2888" xr:uid="{4C970540-6CF0-473E-BB5D-9060CDCBB2EE}"/>
    <cellStyle name="Style 22 76" xfId="2889" xr:uid="{C965D9A0-8657-4B3A-888C-507DB964E268}"/>
    <cellStyle name="Style 22 77" xfId="2890" xr:uid="{6C620ED4-97A1-414A-A30A-9614D6283D6C}"/>
    <cellStyle name="Style 22 78" xfId="2891" xr:uid="{82E2D88A-E9CE-4411-B3C3-93E486DCAA29}"/>
    <cellStyle name="Style 22 79" xfId="2892" xr:uid="{126CF992-388A-409F-900E-F4C1CADFB263}"/>
    <cellStyle name="Style 22 8" xfId="2893" xr:uid="{D3E262F5-706C-45FA-9C71-4EB3B9BEFF0F}"/>
    <cellStyle name="Style 22 80" xfId="2894" xr:uid="{AAD89517-ADEB-4F0F-96C6-43DF21683EDE}"/>
    <cellStyle name="Style 22 81" xfId="2895" xr:uid="{29C8E15B-FBBD-4AA1-8BAA-ABE4AC3DE11C}"/>
    <cellStyle name="Style 22 82" xfId="2896" xr:uid="{C4F8D867-A9D0-43B1-B146-235A5C3D8AD0}"/>
    <cellStyle name="Style 22 83" xfId="2897" xr:uid="{2A4BC56B-2B30-4572-8261-6A3B9CBE3D99}"/>
    <cellStyle name="Style 22 84" xfId="2898" xr:uid="{BED098CE-04C6-4427-BAB1-26E4F28B1028}"/>
    <cellStyle name="Style 22 85" xfId="2899" xr:uid="{0B769D57-6E04-477E-AFB2-9E1D7FAF32CC}"/>
    <cellStyle name="Style 22 86" xfId="2900" xr:uid="{0A50E590-DB05-4ED9-B927-0ED17633F39F}"/>
    <cellStyle name="Style 22 87" xfId="2901" xr:uid="{630B985A-872E-4265-ABA2-F75A86CD00B4}"/>
    <cellStyle name="Style 22 9" xfId="2902" xr:uid="{30D6495D-4D2E-4FEF-8010-4C6EEC7915B5}"/>
    <cellStyle name="Style 23" xfId="2903" xr:uid="{7AF58B52-5638-49C5-AFE2-3377A46C4D0D}"/>
    <cellStyle name="Style 23 10" xfId="2904" xr:uid="{594F7933-272C-43A8-B2C3-68341FC38684}"/>
    <cellStyle name="Style 23 11" xfId="2905" xr:uid="{30A2D7FF-E09C-4627-8697-90F1483022D5}"/>
    <cellStyle name="Style 23 12" xfId="2906" xr:uid="{63C73094-A1D3-47B0-9F2F-E860690B09E5}"/>
    <cellStyle name="Style 23 13" xfId="2907" xr:uid="{7A3ED06C-0E22-4475-9119-00243AC8416D}"/>
    <cellStyle name="Style 23 14" xfId="2908" xr:uid="{FC90C396-9277-4E40-A55C-BD6D7939A4DF}"/>
    <cellStyle name="Style 23 15" xfId="2909" xr:uid="{5D62E9D0-EF3F-43B6-A980-8D92BEED7BAE}"/>
    <cellStyle name="Style 23 16" xfId="2910" xr:uid="{22D46CE2-9311-498A-8622-93F5889EB528}"/>
    <cellStyle name="Style 23 17" xfId="2911" xr:uid="{1AEB9869-A6A0-4897-A05F-F875EE91094A}"/>
    <cellStyle name="Style 23 18" xfId="2912" xr:uid="{BBF46222-EB17-46A6-95AD-7ED657305F16}"/>
    <cellStyle name="Style 23 19" xfId="2913" xr:uid="{5C0F8B32-6169-4B16-B1C7-2D5FE4F9DDDF}"/>
    <cellStyle name="Style 23 2" xfId="2914" xr:uid="{2A1F2E4C-6947-406E-A2A6-EB0EF5B61D56}"/>
    <cellStyle name="Style 23 20" xfId="2915" xr:uid="{E69BB8FF-25DD-44A6-9D9E-9DC073819EE4}"/>
    <cellStyle name="Style 23 21" xfId="2916" xr:uid="{8F19E601-FA58-4F78-ABA2-A30DE6B67BCF}"/>
    <cellStyle name="Style 23 22" xfId="2917" xr:uid="{A98FE618-F494-4446-8077-884AD67E5395}"/>
    <cellStyle name="Style 23 23" xfId="2918" xr:uid="{2F3A5134-DC9B-4172-B7C4-CCB31384A2E2}"/>
    <cellStyle name="Style 23 24" xfId="2919" xr:uid="{848E750F-F972-4688-99BA-FCAD08510D0F}"/>
    <cellStyle name="Style 23 25" xfId="2920" xr:uid="{155BE31A-543F-4DD5-8D6D-D1DC828DEAB6}"/>
    <cellStyle name="Style 23 26" xfId="2921" xr:uid="{7FA1FEDF-EFDF-429A-A225-51446074AE24}"/>
    <cellStyle name="Style 23 27" xfId="2922" xr:uid="{86F4BE52-8C83-45CD-B5D3-00BC1ED0F62E}"/>
    <cellStyle name="Style 23 28" xfId="2923" xr:uid="{62779D02-7F72-4569-8D1E-290C4D8501DB}"/>
    <cellStyle name="Style 23 29" xfId="2924" xr:uid="{421EE781-F06B-48C5-9058-E99A9E98E94A}"/>
    <cellStyle name="Style 23 3" xfId="2925" xr:uid="{082B8925-07A0-4570-ACB2-3243EA120ECB}"/>
    <cellStyle name="Style 23 30" xfId="2926" xr:uid="{3559F947-3E1A-49BF-8ACF-79F05439529B}"/>
    <cellStyle name="Style 23 31" xfId="2927" xr:uid="{E82B828F-5F0F-4B8F-A3B1-505C0BEE50CE}"/>
    <cellStyle name="Style 23 32" xfId="2928" xr:uid="{F9BB64E7-0040-45F0-9831-45A38744AD19}"/>
    <cellStyle name="Style 23 33" xfId="2929" xr:uid="{39E20847-887D-4BCA-84EA-86696E0B9DE6}"/>
    <cellStyle name="Style 23 34" xfId="2930" xr:uid="{B4732160-5CBC-43B4-B81D-DC50790A55F9}"/>
    <cellStyle name="Style 23 35" xfId="2931" xr:uid="{18B39330-D1CE-4038-8AFC-6C10F46669BC}"/>
    <cellStyle name="Style 23 36" xfId="2932" xr:uid="{E86CEAB7-AE8F-4612-BDE2-3DB4C05D9BE6}"/>
    <cellStyle name="Style 23 37" xfId="2933" xr:uid="{7D0CDEC2-20E9-41FE-9D21-501AB705A1F3}"/>
    <cellStyle name="Style 23 38" xfId="2934" xr:uid="{F26158E0-7EC8-4D10-A20D-818E34059502}"/>
    <cellStyle name="Style 23 39" xfId="2935" xr:uid="{C6A68F42-3459-41C6-ADA9-FF29A3ED2BD8}"/>
    <cellStyle name="Style 23 4" xfId="2936" xr:uid="{6E431929-7D1C-46DF-B090-99014AE11EFA}"/>
    <cellStyle name="Style 23 40" xfId="2937" xr:uid="{0DA7B50E-9D08-46A5-A1B9-877044D939B6}"/>
    <cellStyle name="Style 23 41" xfId="2938" xr:uid="{C49898C6-6E60-40ED-B580-F8F2E73578BE}"/>
    <cellStyle name="Style 23 42" xfId="2939" xr:uid="{4F6DD204-1A90-4A26-A6F6-907D770DD23D}"/>
    <cellStyle name="Style 23 43" xfId="2940" xr:uid="{CFD669C8-7A85-4F2E-A07A-813EAB763AC1}"/>
    <cellStyle name="Style 23 44" xfId="2941" xr:uid="{1AB03F1D-2CEC-4E6F-AB7C-4D169D2759DE}"/>
    <cellStyle name="Style 23 45" xfId="2942" xr:uid="{0CD2AEF9-F686-475B-950A-9B9A4CA6B038}"/>
    <cellStyle name="Style 23 46" xfId="2943" xr:uid="{32CD2A51-26CB-48ED-900A-5336B31EECBC}"/>
    <cellStyle name="Style 23 47" xfId="2944" xr:uid="{0D19F164-3356-4920-9DD1-60A9A03C78AE}"/>
    <cellStyle name="Style 23 48" xfId="2945" xr:uid="{5A24E2B0-4BDA-44E2-B3AF-A796AD80F2A0}"/>
    <cellStyle name="Style 23 49" xfId="2946" xr:uid="{4C98B176-4032-4645-A885-D311D8B9A04B}"/>
    <cellStyle name="Style 23 5" xfId="2947" xr:uid="{75242867-CF90-470D-BA1A-69C2C369BEE2}"/>
    <cellStyle name="Style 23 50" xfId="2948" xr:uid="{B9FA9E75-E8A0-4C2E-8E2C-4E65C302DFCA}"/>
    <cellStyle name="Style 23 51" xfId="2949" xr:uid="{81FB9BE3-3E83-44E2-8A4B-BBBBCECB97AB}"/>
    <cellStyle name="Style 23 52" xfId="2950" xr:uid="{31538D06-1CED-428D-A360-61D90701A023}"/>
    <cellStyle name="Style 23 53" xfId="2951" xr:uid="{3A7D7DC4-A6AA-4162-9FD9-DC10DF5DA9CC}"/>
    <cellStyle name="Style 23 54" xfId="2952" xr:uid="{A3F27615-941B-4750-9E94-5DB18AE0E7CB}"/>
    <cellStyle name="Style 23 55" xfId="2953" xr:uid="{A0237E5F-6712-44F7-BD22-956A198548BA}"/>
    <cellStyle name="Style 23 56" xfId="2954" xr:uid="{09EE82A4-7A5C-476E-840A-62A585973D61}"/>
    <cellStyle name="Style 23 57" xfId="2955" xr:uid="{353475D4-0422-49A3-AE1E-3313F9790BFA}"/>
    <cellStyle name="Style 23 58" xfId="2956" xr:uid="{84AA6C86-977A-453B-80E8-D737C990BDC3}"/>
    <cellStyle name="Style 23 59" xfId="2957" xr:uid="{E251CC0B-F6DA-4C24-94DC-2EE27FAD73E2}"/>
    <cellStyle name="Style 23 6" xfId="2958" xr:uid="{654E419B-6AB8-4F18-BFAD-7C49CCEDD402}"/>
    <cellStyle name="Style 23 60" xfId="2959" xr:uid="{B635FF32-274F-4E52-8407-791050650B78}"/>
    <cellStyle name="Style 23 61" xfId="2960" xr:uid="{13AD283D-4E88-46F4-8234-41F26DA5F983}"/>
    <cellStyle name="Style 23 62" xfId="2961" xr:uid="{071C8718-8AC2-4F8B-9EA9-78A7D01EFED2}"/>
    <cellStyle name="Style 23 63" xfId="2962" xr:uid="{A3050045-EBF9-4403-81AE-43557DC2BB24}"/>
    <cellStyle name="Style 23 64" xfId="2963" xr:uid="{6768B5C9-9D44-4034-A184-BF2C3AA29B23}"/>
    <cellStyle name="Style 23 65" xfId="2964" xr:uid="{8D2C551D-D303-45A6-968D-4F5010D0BBB1}"/>
    <cellStyle name="Style 23 66" xfId="2965" xr:uid="{BEE6D8A7-66DB-4962-A685-ED7D01C18491}"/>
    <cellStyle name="Style 23 67" xfId="2966" xr:uid="{7E646BF0-FAA1-4C87-9ECB-5E6DD2A6BA43}"/>
    <cellStyle name="Style 23 68" xfId="2967" xr:uid="{B31D55FE-D125-48AC-9A72-2B4B4F98FF5C}"/>
    <cellStyle name="Style 23 69" xfId="2968" xr:uid="{988B7D69-4AEB-4029-AF28-897F12539E66}"/>
    <cellStyle name="Style 23 7" xfId="2969" xr:uid="{BAD91B80-B7D5-4B11-8E42-E5F8A855A37E}"/>
    <cellStyle name="Style 23 70" xfId="2970" xr:uid="{C457C204-7D67-4381-879C-E510BD25A6B9}"/>
    <cellStyle name="Style 23 71" xfId="2971" xr:uid="{FAD04E14-C045-48E2-9F59-F9B4944E3264}"/>
    <cellStyle name="Style 23 72" xfId="2972" xr:uid="{F31656B8-A24C-4C81-AB08-68BC6705803A}"/>
    <cellStyle name="Style 23 73" xfId="2973" xr:uid="{225C1C8A-2F12-40AE-B34D-BA2F9A48694D}"/>
    <cellStyle name="Style 23 74" xfId="2974" xr:uid="{F0949693-6791-42F6-A91B-517DD434A1F8}"/>
    <cellStyle name="Style 23 75" xfId="2975" xr:uid="{1129A6D8-217E-4859-B1FB-AB8E7B03FED9}"/>
    <cellStyle name="Style 23 76" xfId="2976" xr:uid="{98AE029B-3046-4B81-A26D-06DC66B83702}"/>
    <cellStyle name="Style 23 77" xfId="2977" xr:uid="{94119328-37B2-4516-A60A-AB0F7E106F31}"/>
    <cellStyle name="Style 23 78" xfId="2978" xr:uid="{B8180E67-9502-41E9-9FC8-D8C3A04654BA}"/>
    <cellStyle name="Style 23 79" xfId="2979" xr:uid="{CFBACC97-C433-48C0-AEDF-6771F4D8EB05}"/>
    <cellStyle name="Style 23 8" xfId="2980" xr:uid="{BE0C4FBB-B0C5-42FF-B778-8F5E859771B5}"/>
    <cellStyle name="Style 23 80" xfId="2981" xr:uid="{25FA546A-637D-42CD-842C-0E15332C7695}"/>
    <cellStyle name="Style 23 81" xfId="2982" xr:uid="{A5E222AC-6188-46AD-874F-E1F1556E54AA}"/>
    <cellStyle name="Style 23 82" xfId="2983" xr:uid="{B646C2D9-465E-4CF1-98A9-62BB9C1522E9}"/>
    <cellStyle name="Style 23 83" xfId="2984" xr:uid="{4848BA4D-7310-43CD-BF63-0E3F236ACA0B}"/>
    <cellStyle name="Style 23 84" xfId="2985" xr:uid="{936AC5B2-9BA2-4D7F-82E1-06F90539D98E}"/>
    <cellStyle name="Style 23 85" xfId="2986" xr:uid="{DF063667-B4D1-4B31-81F2-3855D0508D14}"/>
    <cellStyle name="Style 23 86" xfId="2987" xr:uid="{E1B93251-737B-487A-A4FC-1F16C0ADDA0B}"/>
    <cellStyle name="Style 23 87" xfId="2988" xr:uid="{2B0822AC-EBAC-4105-9850-8B85F38353FC}"/>
    <cellStyle name="Style 23 9" xfId="2989" xr:uid="{6D753D54-43DF-4402-907F-3A1A6A57430E}"/>
    <cellStyle name="Style 24" xfId="2990" xr:uid="{688396C3-090F-4995-BDEA-50CAF3AFA3F2}"/>
    <cellStyle name="Style 24 10" xfId="2991" xr:uid="{1D422655-6834-4822-9CC3-73B02BB38318}"/>
    <cellStyle name="Style 24 11" xfId="2992" xr:uid="{FAC87DAF-3D55-41C8-AB40-6BA5ECF4A814}"/>
    <cellStyle name="Style 24 12" xfId="2993" xr:uid="{5251362A-E5A9-4B5F-95C8-412E813420E7}"/>
    <cellStyle name="Style 24 13" xfId="2994" xr:uid="{78BF26F7-9EDC-4180-9324-96D42B441CA8}"/>
    <cellStyle name="Style 24 14" xfId="2995" xr:uid="{9C3DE200-D2E1-4F56-8D75-67685F1A112A}"/>
    <cellStyle name="Style 24 15" xfId="2996" xr:uid="{31C8828B-DDAD-40B2-A7F0-92928CF8AB21}"/>
    <cellStyle name="Style 24 16" xfId="2997" xr:uid="{A3A9D10E-BA78-40C2-923E-85EBC55A6574}"/>
    <cellStyle name="Style 24 17" xfId="2998" xr:uid="{0F1A5104-9001-4A0F-A4E4-E365AACDCB56}"/>
    <cellStyle name="Style 24 18" xfId="2999" xr:uid="{0D1B1F7E-A622-4F93-8FF4-24CF472196EE}"/>
    <cellStyle name="Style 24 19" xfId="3000" xr:uid="{027B1EFF-7FF3-449F-B7BA-44A58D3DF9B1}"/>
    <cellStyle name="Style 24 2" xfId="3001" xr:uid="{D2794936-3EB5-4CE3-8470-11F41D57B1CE}"/>
    <cellStyle name="Style 24 2 10" xfId="3002" xr:uid="{38286143-E30F-4AF0-8776-320E7428E08E}"/>
    <cellStyle name="Style 24 2 11" xfId="3003" xr:uid="{249A437C-8E1B-41D2-877B-37C44F148A5E}"/>
    <cellStyle name="Style 24 2 12" xfId="3004" xr:uid="{B564008D-CCB2-4038-BCA0-BCC8E08D7A87}"/>
    <cellStyle name="Style 24 2 13" xfId="3005" xr:uid="{E128E6D6-FE5E-43A9-BDC1-5A32D7FBB4DA}"/>
    <cellStyle name="Style 24 2 14" xfId="3006" xr:uid="{13630164-6E26-4995-AC7C-4FBF9EB48401}"/>
    <cellStyle name="Style 24 2 15" xfId="3007" xr:uid="{86B46DB2-AC37-44E7-81EA-DDDEE02D4BC1}"/>
    <cellStyle name="Style 24 2 16" xfId="3008" xr:uid="{5DEF9ADE-5241-4992-832E-025789294421}"/>
    <cellStyle name="Style 24 2 17" xfId="3009" xr:uid="{489F772D-4899-48ED-8D1D-832AFEBA423E}"/>
    <cellStyle name="Style 24 2 18" xfId="3010" xr:uid="{85EE27D9-8C35-4744-B843-DFF53B65DBF9}"/>
    <cellStyle name="Style 24 2 19" xfId="3011" xr:uid="{38A822BB-8A6A-444A-B695-A716C1593BF9}"/>
    <cellStyle name="Style 24 2 2" xfId="3012" xr:uid="{1A6A8EC0-16F7-4B4A-804A-A1FAE7C3430D}"/>
    <cellStyle name="Style 24 2 20" xfId="3013" xr:uid="{C362FF45-057B-456D-8446-5B4628A7561C}"/>
    <cellStyle name="Style 24 2 21" xfId="3014" xr:uid="{F958A1BC-8F97-4C3D-991F-C6D03011A179}"/>
    <cellStyle name="Style 24 2 22" xfId="3015" xr:uid="{0B67D239-22DA-4953-BC10-D024F704F44B}"/>
    <cellStyle name="Style 24 2 23" xfId="3016" xr:uid="{A744CE09-CB1C-41C0-8D34-19CAAA72DD1C}"/>
    <cellStyle name="Style 24 2 24" xfId="3017" xr:uid="{BBE19A65-BD48-4A0D-9599-CE0E6F9B3A0D}"/>
    <cellStyle name="Style 24 2 3" xfId="3018" xr:uid="{0E4F7283-724E-499B-848A-4227AA8E6456}"/>
    <cellStyle name="Style 24 2 4" xfId="3019" xr:uid="{2E0F8A02-EB08-4B65-AF58-A4F7589100BF}"/>
    <cellStyle name="Style 24 2 5" xfId="3020" xr:uid="{6D8EFE85-5CA9-4B9E-A216-AC40A6457F1C}"/>
    <cellStyle name="Style 24 2 6" xfId="3021" xr:uid="{B5FE815C-54BB-4B63-A3A5-3D60CE59FC8A}"/>
    <cellStyle name="Style 24 2 7" xfId="3022" xr:uid="{4337CFAE-9ACE-4B58-BE40-C721FFA72856}"/>
    <cellStyle name="Style 24 2 8" xfId="3023" xr:uid="{7CAFF5B5-BD6F-4414-B209-8EAFD439BA1F}"/>
    <cellStyle name="Style 24 2 9" xfId="3024" xr:uid="{95554A6F-0EE9-4273-A1CF-4412745DF8E9}"/>
    <cellStyle name="Style 24 20" xfId="3025" xr:uid="{3252C6DA-D2A2-439F-8236-DAF228FA78BE}"/>
    <cellStyle name="Style 24 21" xfId="3026" xr:uid="{BFC2D3F1-14ED-4264-B8F1-EEEC5A75678E}"/>
    <cellStyle name="Style 24 22" xfId="3027" xr:uid="{6DA8190D-7DF4-408F-98FC-AAB771E05F45}"/>
    <cellStyle name="Style 24 23" xfId="3028" xr:uid="{7DDEFA17-BD91-4B37-A750-E0F5A1B33B73}"/>
    <cellStyle name="Style 24 24" xfId="3029" xr:uid="{ADEF4638-9624-4ED4-BB2A-2E8FC8448A2C}"/>
    <cellStyle name="Style 24 25" xfId="3030" xr:uid="{3752EA0B-9B11-4217-9D5F-6E25524F0CC0}"/>
    <cellStyle name="Style 24 26" xfId="3031" xr:uid="{6E0A336B-A023-4061-9FB6-B929353A1B1C}"/>
    <cellStyle name="Style 24 27" xfId="3032" xr:uid="{B117EE2D-9327-41FC-A871-6242D538056C}"/>
    <cellStyle name="Style 24 28" xfId="3033" xr:uid="{AA2BE404-CA65-4337-B57D-8DDAAB5329BE}"/>
    <cellStyle name="Style 24 29" xfId="3034" xr:uid="{1414AF34-B069-4FA4-A26B-1BD05F7C194E}"/>
    <cellStyle name="Style 24 3" xfId="3035" xr:uid="{09986361-FB71-49DE-AF68-530F5733D707}"/>
    <cellStyle name="Style 24 30" xfId="3036" xr:uid="{99591B75-2CF4-4CAB-AE28-DFAF0E408334}"/>
    <cellStyle name="Style 24 31" xfId="3037" xr:uid="{5025E1EB-856D-4553-8C54-903CBC012F80}"/>
    <cellStyle name="Style 24 32" xfId="3038" xr:uid="{F3FAB65F-E021-44F6-89AC-E79CB2FA3579}"/>
    <cellStyle name="Style 24 33" xfId="3039" xr:uid="{34A05B9D-C3DE-41B6-8C04-371E59A882C9}"/>
    <cellStyle name="Style 24 34" xfId="3040" xr:uid="{7E8BACA3-8C8D-48D9-95D7-35746DF949D5}"/>
    <cellStyle name="Style 24 35" xfId="3041" xr:uid="{63602863-F754-4344-8D0F-2E182F73BAB0}"/>
    <cellStyle name="Style 24 36" xfId="3042" xr:uid="{A8AC2E72-5548-4F89-8A2D-825269317258}"/>
    <cellStyle name="Style 24 37" xfId="3043" xr:uid="{8FA38DAB-8B99-441F-A817-39CB4C4E7655}"/>
    <cellStyle name="Style 24 38" xfId="3044" xr:uid="{2BC1E38A-525C-401B-BEF1-77E0AF635DE6}"/>
    <cellStyle name="Style 24 39" xfId="3045" xr:uid="{B411A6C6-B572-4673-9C79-FA2847EB87C3}"/>
    <cellStyle name="Style 24 4" xfId="3046" xr:uid="{D23CF4FF-FCB4-4683-8C87-1875E2B83A69}"/>
    <cellStyle name="Style 24 40" xfId="3047" xr:uid="{9AC29ADC-1206-4648-B57C-BF8357D31F99}"/>
    <cellStyle name="Style 24 41" xfId="3048" xr:uid="{4C7103B7-8006-464A-835D-6095A4C628A9}"/>
    <cellStyle name="Style 24 42" xfId="3049" xr:uid="{64EA87C1-E37F-4E5C-BA4F-5C30F0E12092}"/>
    <cellStyle name="Style 24 43" xfId="3050" xr:uid="{6835618F-25A8-4709-AA4C-1A450B0B7996}"/>
    <cellStyle name="Style 24 44" xfId="3051" xr:uid="{960475EB-798D-449A-A6C7-A690991D2DC5}"/>
    <cellStyle name="Style 24 45" xfId="3052" xr:uid="{29E7B79F-2A8D-4D30-85DE-88C87F6E3433}"/>
    <cellStyle name="Style 24 46" xfId="3053" xr:uid="{49E29EEA-7246-4694-8501-27101E9226E4}"/>
    <cellStyle name="Style 24 47" xfId="3054" xr:uid="{BAD37054-0EE3-4193-9AF9-ADC6853CFE20}"/>
    <cellStyle name="Style 24 48" xfId="3055" xr:uid="{2A57EED2-EA57-45B1-B0F7-EA63D76A0142}"/>
    <cellStyle name="Style 24 49" xfId="3056" xr:uid="{5F7218FE-0FF9-4B38-B015-FE5435252E9A}"/>
    <cellStyle name="Style 24 5" xfId="3057" xr:uid="{4285C4B2-BF1B-4260-9FE6-CA5596AFBF81}"/>
    <cellStyle name="Style 24 50" xfId="3058" xr:uid="{9BAD1CC9-FDF6-4B16-A982-A353D2D96E16}"/>
    <cellStyle name="Style 24 51" xfId="3059" xr:uid="{9B68E894-9597-4637-BB42-6A9828A36A16}"/>
    <cellStyle name="Style 24 52" xfId="3060" xr:uid="{2C717592-B132-4D21-ADE8-8377EC073F4F}"/>
    <cellStyle name="Style 24 53" xfId="3061" xr:uid="{4C655D0D-1D26-4384-B53C-CD1859B0B1C9}"/>
    <cellStyle name="Style 24 54" xfId="3062" xr:uid="{40C27926-FC4A-4E0C-856D-BC28B81E062A}"/>
    <cellStyle name="Style 24 55" xfId="3063" xr:uid="{92101FD9-9614-4DEB-8889-76B029D9C152}"/>
    <cellStyle name="Style 24 56" xfId="3064" xr:uid="{753B0B96-B4B9-4871-82D2-85606DEFE18A}"/>
    <cellStyle name="Style 24 57" xfId="3065" xr:uid="{3A2230A0-8844-49EE-8463-2443FD4E873F}"/>
    <cellStyle name="Style 24 58" xfId="3066" xr:uid="{A5D6504E-844E-4993-A8F4-CF537C0CE1B5}"/>
    <cellStyle name="Style 24 59" xfId="3067" xr:uid="{8F85CFE0-A3F0-46EC-81B2-4D673BF50BF8}"/>
    <cellStyle name="Style 24 6" xfId="3068" xr:uid="{D103F80D-BD37-4476-BEAB-B456BFBB07CC}"/>
    <cellStyle name="Style 24 60" xfId="3069" xr:uid="{F976921E-2A17-4ECF-906A-47E6E8093F3F}"/>
    <cellStyle name="Style 24 61" xfId="3070" xr:uid="{E9A0D07D-61DA-4612-8307-26F9C3159092}"/>
    <cellStyle name="Style 24 62" xfId="3071" xr:uid="{80F31041-D938-4EF2-AB8C-128301AF35D2}"/>
    <cellStyle name="Style 24 63" xfId="3072" xr:uid="{817CDDDB-0DC9-4118-9613-E01E1FF3FA46}"/>
    <cellStyle name="Style 24 64" xfId="3073" xr:uid="{DCF7B35F-5743-4169-B62F-CA6D710929F6}"/>
    <cellStyle name="Style 24 65" xfId="3074" xr:uid="{08741F96-5A75-435A-815D-F80C60B592AF}"/>
    <cellStyle name="Style 24 66" xfId="3075" xr:uid="{0E0FCD1A-3038-47AA-8200-5482F6A15303}"/>
    <cellStyle name="Style 24 67" xfId="3076" xr:uid="{06133893-A3BB-4467-9324-1E6F8C2CC8F1}"/>
    <cellStyle name="Style 24 68" xfId="3077" xr:uid="{DA5EC2C5-A092-4B4C-83AF-5C2DC082B013}"/>
    <cellStyle name="Style 24 69" xfId="3078" xr:uid="{531E39BC-762C-4E02-8265-96620BD8881C}"/>
    <cellStyle name="Style 24 7" xfId="3079" xr:uid="{86F88170-6956-4507-895A-1A278FCBBC2D}"/>
    <cellStyle name="Style 24 70" xfId="3080" xr:uid="{46CD95B0-A025-4188-835E-7079D1627143}"/>
    <cellStyle name="Style 24 71" xfId="3081" xr:uid="{7F28970D-4893-48E5-B72C-EA405A5B8504}"/>
    <cellStyle name="Style 24 72" xfId="3082" xr:uid="{7B73B570-A693-4A47-87A5-110F37BF3A4A}"/>
    <cellStyle name="Style 24 73" xfId="3083" xr:uid="{7C66F14E-BC7D-40E5-9302-53D926B7C436}"/>
    <cellStyle name="Style 24 74" xfId="3084" xr:uid="{857BD46E-B5CC-40A3-829F-4D0332957EB5}"/>
    <cellStyle name="Style 24 75" xfId="3085" xr:uid="{51E088F0-6E2D-4051-A4C8-09EFF11CC398}"/>
    <cellStyle name="Style 24 76" xfId="3086" xr:uid="{95DF4D02-9FA3-4F5B-AA7C-C96094FB1C77}"/>
    <cellStyle name="Style 24 77" xfId="3087" xr:uid="{016BFE65-E732-4118-B416-C8A601A065B9}"/>
    <cellStyle name="Style 24 78" xfId="3088" xr:uid="{CC978FC8-02A1-454B-AE34-FBA49A6CA0C0}"/>
    <cellStyle name="Style 24 79" xfId="3089" xr:uid="{08482692-82AA-44C1-83E9-EB446C9DCD92}"/>
    <cellStyle name="Style 24 8" xfId="3090" xr:uid="{78E887E9-C26F-4CA4-9E05-168C71EC553B}"/>
    <cellStyle name="Style 24 80" xfId="3091" xr:uid="{2400F5C7-4F84-4EC2-93CC-B7E5CC51C099}"/>
    <cellStyle name="Style 24 81" xfId="3092" xr:uid="{296D1F92-47DA-4FB9-B99A-71C252BAF23D}"/>
    <cellStyle name="Style 24 82" xfId="3093" xr:uid="{7B01BA0E-7834-41C3-B739-8182E66DCC29}"/>
    <cellStyle name="Style 24 83" xfId="3094" xr:uid="{1B4D3471-759A-4A65-A36B-9A448969748B}"/>
    <cellStyle name="Style 24 84" xfId="3095" xr:uid="{33AD4630-A887-4FD3-A700-F23905AA0ADD}"/>
    <cellStyle name="Style 24 85" xfId="3096" xr:uid="{4F7970EF-640E-4B4D-A2F8-97B3ECA9CA24}"/>
    <cellStyle name="Style 24 86" xfId="3097" xr:uid="{F765510B-1794-49CD-A4EF-BF45B0B17748}"/>
    <cellStyle name="Style 24 87" xfId="3098" xr:uid="{DA0DCADD-29BC-43B7-8AB8-50785E8BA544}"/>
    <cellStyle name="Style 24 9" xfId="3099" xr:uid="{50CCA679-E6FA-4B10-BBBC-B1BECA1E4F42}"/>
    <cellStyle name="Style 24_Key Stats (Platform) Insurance" xfId="3100" xr:uid="{FB52C83B-4E58-44E0-B94A-719A17413387}"/>
    <cellStyle name="Style 25" xfId="3101" xr:uid="{161AC32A-B055-4453-AB17-68CE5CA3D657}"/>
    <cellStyle name="Style 25 10" xfId="3102" xr:uid="{5A4243D4-6B04-479C-8392-18B58CF6DCA5}"/>
    <cellStyle name="Style 25 11" xfId="3103" xr:uid="{73DF0979-C1C6-42DD-9310-32069751970D}"/>
    <cellStyle name="Style 25 12" xfId="3104" xr:uid="{7E18C779-48F4-4DAF-A45C-0025ED451938}"/>
    <cellStyle name="Style 25 13" xfId="3105" xr:uid="{C6869642-AD16-438B-8AEF-5DBB43355F8E}"/>
    <cellStyle name="Style 25 14" xfId="3106" xr:uid="{AA917F7B-E17D-4C0F-9049-8FA666AD33D9}"/>
    <cellStyle name="Style 25 15" xfId="3107" xr:uid="{2BC1F4CC-4904-458A-814D-020F4B95FCAD}"/>
    <cellStyle name="Style 25 16" xfId="3108" xr:uid="{0F1C5BD0-75BB-45FF-8DD6-7281EFA588D6}"/>
    <cellStyle name="Style 25 17" xfId="3109" xr:uid="{76F97780-C379-4FAD-9547-0182E868C3B3}"/>
    <cellStyle name="Style 25 18" xfId="3110" xr:uid="{41A65618-2EEB-49B9-9A33-00DDD8CDCC18}"/>
    <cellStyle name="Style 25 19" xfId="3111" xr:uid="{F741E791-AFD7-48D3-9235-E6F8AB2A1CDD}"/>
    <cellStyle name="Style 25 2" xfId="3112" xr:uid="{FE07F871-AA70-48F4-99D3-DAC23F5E8CD8}"/>
    <cellStyle name="Style 25 20" xfId="3113" xr:uid="{7AC6B4D3-87B9-454C-BF07-E2F793013387}"/>
    <cellStyle name="Style 25 21" xfId="3114" xr:uid="{59405DCE-98CD-4699-BE61-75861C66D7CE}"/>
    <cellStyle name="Style 25 22" xfId="3115" xr:uid="{5DA572DE-F872-403F-BC64-18C6F6721DE3}"/>
    <cellStyle name="Style 25 23" xfId="3116" xr:uid="{45A61BB1-A3BA-4A08-91C1-A9E5DD6AE757}"/>
    <cellStyle name="Style 25 24" xfId="3117" xr:uid="{D9CFF936-32B0-4D2D-8E29-9723F75DA0CC}"/>
    <cellStyle name="Style 25 3" xfId="3118" xr:uid="{53E0DFAE-C3CD-4E48-85D0-88996227644D}"/>
    <cellStyle name="Style 25 4" xfId="3119" xr:uid="{9C52D3BD-9E01-413D-973B-18B8FE6156D6}"/>
    <cellStyle name="Style 25 5" xfId="3120" xr:uid="{3F1FEBCB-819B-4A4A-B763-55EC4C676B7B}"/>
    <cellStyle name="Style 25 6" xfId="3121" xr:uid="{E1E5610F-8D0C-4CB0-BA60-6412537C6143}"/>
    <cellStyle name="Style 25 7" xfId="3122" xr:uid="{23247A73-F64A-48B7-8897-7E72916AEBE8}"/>
    <cellStyle name="Style 25 8" xfId="3123" xr:uid="{AE16C38C-5EF0-4F05-9ABD-5FAF4DDF49D2}"/>
    <cellStyle name="Style 25 9" xfId="3124" xr:uid="{4BAA15A0-DC80-4D93-926B-0FE3AD14257F}"/>
    <cellStyle name="Style 26" xfId="3125" xr:uid="{72F5F872-20FB-4056-956C-5E1C77016E6E}"/>
    <cellStyle name="Style 27" xfId="3126" xr:uid="{5B57D1FD-ACBB-4301-9CF5-E96C83316C89}"/>
    <cellStyle name="Style 28" xfId="3127" xr:uid="{5A61FE70-7087-4EDC-A5BF-705CA3CB18EC}"/>
    <cellStyle name="Style D green" xfId="3128" xr:uid="{892905A8-4260-4960-8DE6-8FA767A3EF96}"/>
    <cellStyle name="Style E" xfId="3129" xr:uid="{CB4D7C6B-4BB2-42FF-B844-FB5661254F78}"/>
    <cellStyle name="Style H" xfId="3130" xr:uid="{8D80AA3E-8ED6-4A9C-96E9-2AD6318A3EB2}"/>
    <cellStyle name="Sub total" xfId="3131" xr:uid="{7304B4FE-70E1-4E12-96FB-6D7882876F7C}"/>
    <cellStyle name="SubScript" xfId="3132" xr:uid="{0AC772F8-750C-41A5-B384-D44F04654EAB}"/>
    <cellStyle name="SubScript 2" xfId="3133" xr:uid="{5B37E7FA-7490-4A29-8A93-8DA7DC41E73C}"/>
    <cellStyle name="Suma 2" xfId="3192" xr:uid="{35BF5B72-FEE6-4C78-A6C3-BC0DA1F77839}"/>
    <cellStyle name="SuperScript" xfId="3134" xr:uid="{7FB3F88A-547B-4DEF-962D-86D012539F25}"/>
    <cellStyle name="SuperScript 2" xfId="3135" xr:uid="{7FEF843E-0B98-4A9C-BA4E-B8CEBACAD809}"/>
    <cellStyle name="Table (Normal)" xfId="8206" xr:uid="{0F4EC5B7-0645-A647-ABC5-9DAD301F0A9D}"/>
    <cellStyle name="Table Col Head" xfId="3358" xr:uid="{E7D04B99-5790-491A-A5A9-2A3C79B433CB}"/>
    <cellStyle name="Table end" xfId="3136" xr:uid="{89E643F2-732F-4226-A1B4-375C0D47E80E}"/>
    <cellStyle name="Table Head" xfId="3137" xr:uid="{3B5AF06A-E0E1-4756-BA4C-D9D2A2A54034}"/>
    <cellStyle name="Table Head Aligned" xfId="3138" xr:uid="{078B2FDD-D0CE-42E4-8B04-C9FE87DEC32B}"/>
    <cellStyle name="Table Head Aligned 2" xfId="7888" xr:uid="{42F2ECCB-C751-467D-97EB-26D37DD4EAC8}"/>
    <cellStyle name="Table Head Aligned 3" xfId="7965" xr:uid="{21B3ACAC-9AA4-44D2-A46B-EA2F46687AC5}"/>
    <cellStyle name="Table Head Aligned 4" xfId="7941" xr:uid="{4606DEAA-16CB-41AE-9752-DEB98509B376}"/>
    <cellStyle name="Table Head Aligned 5" xfId="7838" xr:uid="{DCEE0B98-C742-4DA5-8160-9A4C81DAC1DC}"/>
    <cellStyle name="Table Head Blue" xfId="3139" xr:uid="{B883823A-5BD9-4D04-B514-50040DE885F9}"/>
    <cellStyle name="Table Head Green" xfId="3140" xr:uid="{80B6BD0F-B2C9-4D76-9061-1435E5BE2E31}"/>
    <cellStyle name="Table Head Green 2" xfId="7889" xr:uid="{BB4A1B84-BEB3-4E34-AB0D-2E9E7408B634}"/>
    <cellStyle name="Table Head Green 3" xfId="7964" xr:uid="{54F19CC4-FE18-43C6-B834-5B8D21E6BE55}"/>
    <cellStyle name="Table Head Green 4" xfId="8012" xr:uid="{3A86681E-B09D-40D9-93C4-96CE944EF604}"/>
    <cellStyle name="Table Head Green 5" xfId="7989" xr:uid="{8397B1ED-621F-42D8-BE1B-72400D4D5FBD}"/>
    <cellStyle name="Table head_PMC - analysis_08.08.07" xfId="3141" xr:uid="{95F6CEC0-ECA0-42A5-9EB8-AFE75992F46D}"/>
    <cellStyle name="table text bold" xfId="3142" xr:uid="{127C8396-36D3-4332-939A-CA253B10AD01}"/>
    <cellStyle name="table text bold green" xfId="3143" xr:uid="{F3871E4B-E492-4762-B826-7CB696418714}"/>
    <cellStyle name="table text bold_PharMerica" xfId="3144" xr:uid="{7087BF94-59F5-49C9-B113-10663F353D2F}"/>
    <cellStyle name="table text light" xfId="3145" xr:uid="{16B726AD-2A2B-4D95-84CD-C921C29D703F}"/>
    <cellStyle name="Table Title" xfId="3146" xr:uid="{5E1B6C9B-45E5-4D78-9EFE-0AECEF0788C7}"/>
    <cellStyle name="Table Title 2" xfId="3359" xr:uid="{90DB6AAE-8D23-41FA-83CE-CF47EC223D14}"/>
    <cellStyle name="Table Units" xfId="3147" xr:uid="{1431B06B-8CF4-419F-9662-373E1FE94B8E}"/>
    <cellStyle name="Table Units 2" xfId="7890" xr:uid="{AC9C529A-2722-4632-A32B-88A503E19ED7}"/>
    <cellStyle name="TableBody" xfId="3148" xr:uid="{8B2B7003-23EE-4E7F-99A8-2CA06058B64D}"/>
    <cellStyle name="TableBodyR" xfId="3149" xr:uid="{DFFF60A5-B51D-4048-9D0D-D5E553C1F3A6}"/>
    <cellStyle name="TableColHeads" xfId="3150" xr:uid="{27477EBE-6914-4645-AF1C-00FCF98F2C4F}"/>
    <cellStyle name="Tekst objaśnienia 2" xfId="3277" xr:uid="{14EC7A49-E06B-439F-B031-4F5DECEB8C94}"/>
    <cellStyle name="Tekst ostrzeżenia 2" xfId="3276" xr:uid="{698A0931-5417-4A3A-83AF-487BE960A78A}"/>
    <cellStyle name="TextBold" xfId="3151" xr:uid="{131E7401-85B7-4B10-AC75-4B46117BDB12}"/>
    <cellStyle name="TextBold 2" xfId="3152" xr:uid="{1E5F4E2E-8D5D-4EC5-97D4-92446E83CEF1}"/>
    <cellStyle name="TextBold 3" xfId="3153" xr:uid="{42855861-85AE-4783-AC7A-7180FF565433}"/>
    <cellStyle name="TextItalic" xfId="3154" xr:uid="{55E8CD42-E2ED-4D16-96CE-7E902D5E4122}"/>
    <cellStyle name="TextItalic 2" xfId="3155" xr:uid="{9C961756-D3F4-46A1-9BC1-1AEBA3A0760E}"/>
    <cellStyle name="TextNormal" xfId="3156" xr:uid="{0C2E2BBA-F743-4786-93E7-16EE4DB26334}"/>
    <cellStyle name="TextNormal 2" xfId="3157" xr:uid="{EE374803-EEC5-43C2-9A34-1F3C241BF983}"/>
    <cellStyle name="TextNormal 3" xfId="3158" xr:uid="{4002F3B0-D18B-45E1-B120-CAB175EE455D}"/>
    <cellStyle name="Times New Roman" xfId="3159" xr:uid="{76DFF609-63F6-4A6C-978A-EE8F08D4A66C}"/>
    <cellStyle name="Tina" xfId="3360" xr:uid="{0B3A98EB-D2BA-4683-B67A-AA82C2B28D36}"/>
    <cellStyle name="Title - PROJECT" xfId="3361" xr:uid="{BFDBCB64-D4F2-481E-A904-9FF0DF5269F3}"/>
    <cellStyle name="Title - Underline" xfId="3362" xr:uid="{73FE28E6-E618-49DF-9EDD-5770F93BC04A}"/>
    <cellStyle name="Title 10" xfId="3160" xr:uid="{87B36AA5-15C2-4EA8-921E-9164137E4089}"/>
    <cellStyle name="Title 10 2" xfId="3486" xr:uid="{CB793C1D-39B2-4B5A-A4F2-F59FC3B0636B}"/>
    <cellStyle name="Title 11" xfId="3161" xr:uid="{93E81D7C-5C8F-4C7B-A171-6F03AA35588F}"/>
    <cellStyle name="Title 12" xfId="3162" xr:uid="{EC8CA051-B207-49F6-BF0B-309F680F5329}"/>
    <cellStyle name="Title 13" xfId="3163" xr:uid="{C68B09C2-9835-4655-9B20-C7197680E4C6}"/>
    <cellStyle name="Title 14" xfId="3164" xr:uid="{502F9BE0-D41E-485C-80B9-579E3AED7A5F}"/>
    <cellStyle name="Title 15" xfId="3165" xr:uid="{1CC22C1D-6004-410B-BDBF-3155B55C9AC5}"/>
    <cellStyle name="Title 16" xfId="3166" xr:uid="{E23884D4-381B-4C28-B69B-D1CFC6720B6F}"/>
    <cellStyle name="Title 17" xfId="3167" xr:uid="{6A77DA64-E464-4995-8429-3B05F1A3302A}"/>
    <cellStyle name="Title 18" xfId="3168" xr:uid="{496AD5CB-6334-48C2-94A1-8FEF5A3F6194}"/>
    <cellStyle name="Title 19" xfId="3169" xr:uid="{33C90295-0A21-49C8-88D4-425DC4319879}"/>
    <cellStyle name="Title 2" xfId="3170" xr:uid="{44C39C89-A515-4FF5-B851-46D00961A33D}"/>
    <cellStyle name="Title 2 2" xfId="3171" xr:uid="{103EC1C8-DA14-40E0-BE75-FAE02424B61A}"/>
    <cellStyle name="Title 2 2 2" xfId="7139" xr:uid="{BC4CE90B-CEB1-41BA-A102-DB88B0D78804}"/>
    <cellStyle name="Title 20" xfId="3172" xr:uid="{2CF0B355-7C91-457C-98C3-10F0214E0409}"/>
    <cellStyle name="Title 21" xfId="3173" xr:uid="{04C2B3A7-AF70-47B7-B111-1B446B2F9027}"/>
    <cellStyle name="Title 22" xfId="3174" xr:uid="{9421CBBD-47FE-488C-B04C-8FD70DBFC989}"/>
    <cellStyle name="Title 23" xfId="3175" xr:uid="{F96BC819-E46D-434E-ACED-06CF225B1049}"/>
    <cellStyle name="Title 24" xfId="3176" xr:uid="{74CEEEFA-659E-41C8-AEAE-168E0F7E0FFE}"/>
    <cellStyle name="Title 25" xfId="3177" xr:uid="{E59C9DEE-2DD1-4CF2-BC4F-1CE9E94897CB}"/>
    <cellStyle name="Title 26" xfId="3178" xr:uid="{36E70F9E-A3A4-48C9-B287-207A241D236C}"/>
    <cellStyle name="Title 3" xfId="3179" xr:uid="{75209B83-3DCE-44EA-AE06-19C37850F7DA}"/>
    <cellStyle name="Title 3 2" xfId="7140" xr:uid="{639D5D17-042C-490F-8739-C8DBBF54883C}"/>
    <cellStyle name="Title 3 3" xfId="3442" xr:uid="{B3A33401-1045-414A-8327-07EF5C1A884A}"/>
    <cellStyle name="Title 4" xfId="3180" xr:uid="{F5046723-D021-4F83-8AD0-619D15583EDD}"/>
    <cellStyle name="Title 4 2" xfId="7141" xr:uid="{203220E8-73A0-44B2-ABB4-67203D44E84B}"/>
    <cellStyle name="Title 4 3" xfId="3450" xr:uid="{9F0DE17A-5D6E-42A6-9699-87F29A660F8D}"/>
    <cellStyle name="Title 5" xfId="3181" xr:uid="{A6C5714D-CD85-42F1-94D5-E5C8D97FBF2F}"/>
    <cellStyle name="Title 5 2" xfId="7142" xr:uid="{143E6162-EEE0-4FC4-803D-8CE35C114B01}"/>
    <cellStyle name="Title 5 3" xfId="3481" xr:uid="{99C8A5D4-4B40-4F65-9CBF-E8F9CCF9590A}"/>
    <cellStyle name="Title 6" xfId="3182" xr:uid="{2BAF1DEA-EAF5-45B8-BFA8-6DA4F3B5B4B9}"/>
    <cellStyle name="Title 6 2" xfId="3480" xr:uid="{5A245329-1875-44EC-A21B-9512CA620974}"/>
    <cellStyle name="Title 7" xfId="3183" xr:uid="{D63D3895-BBED-46F2-BB55-6B1F5C778BCC}"/>
    <cellStyle name="Title 7 2" xfId="3476" xr:uid="{63D6E793-9086-457B-8364-33EE2E4A2CA4}"/>
    <cellStyle name="Title 8" xfId="3184" xr:uid="{F1F10376-35D4-401E-BFC6-BC42057C9B04}"/>
    <cellStyle name="Title 8 2" xfId="3479" xr:uid="{C8A3D34F-641A-46F6-9B9C-948E658CB0B4}"/>
    <cellStyle name="Title 9" xfId="3185" xr:uid="{BF0BA9E7-58F5-4E83-97F8-1B8A985E44BA}"/>
    <cellStyle name="Title 9 2" xfId="3485" xr:uid="{00CFF4C3-7229-4EDD-B7DA-5A1FF7110350}"/>
    <cellStyle name="title1" xfId="3186" xr:uid="{C0DCACA8-F384-4953-89B2-DE5C9AAB2399}"/>
    <cellStyle name="title2" xfId="3187" xr:uid="{8C039BAB-42D2-4D34-ABD7-CB484784E9A2}"/>
    <cellStyle name="TitleNormal" xfId="3188" xr:uid="{6AC49FDE-48A3-4716-A250-81EC53FF6DCC}"/>
    <cellStyle name="TitleNormal 2" xfId="3189" xr:uid="{D70E57E7-8A10-46B3-9930-168E3EC5BD47}"/>
    <cellStyle name="TitleNormal 3" xfId="3190" xr:uid="{31444142-037B-46A3-9A41-E2714ACB5195}"/>
    <cellStyle name="Titles" xfId="3191" xr:uid="{7E769AEC-A57E-44AB-96C7-CE11ABF75945}"/>
    <cellStyle name="Titles - Col. Headings" xfId="3363" xr:uid="{D2A9E291-93E1-462A-96BB-E79511F340A8}"/>
    <cellStyle name="Titles - Other" xfId="3364" xr:uid="{617F9DA3-AEC4-4177-918E-3AF1A249D5E4}"/>
    <cellStyle name="Total 10" xfId="3193" xr:uid="{09C2F689-AF16-4715-9B7E-154340B01B0A}"/>
    <cellStyle name="Total 10 2" xfId="3194" xr:uid="{702B6D08-6A2D-43B7-B0FB-5216F8BAD0B7}"/>
    <cellStyle name="Total 10 2 2" xfId="3195" xr:uid="{FF7B8E38-9743-4326-A2DF-D4124C802748}"/>
    <cellStyle name="Total 10 2 3" xfId="3196" xr:uid="{A1DD1856-16E1-42FF-9497-CBE0F54945A2}"/>
    <cellStyle name="Total 11" xfId="3197" xr:uid="{EF5D8A9B-7C40-4D60-8A60-A10124D43502}"/>
    <cellStyle name="Total 11 2" xfId="3198" xr:uid="{F4B664C6-3D8C-4A79-8729-991EF20D55BA}"/>
    <cellStyle name="Total 11 2 2" xfId="3199" xr:uid="{083F7437-267F-4019-8ED5-8E0C0564F7D8}"/>
    <cellStyle name="Total 11 2 3" xfId="3200" xr:uid="{9FC4EACE-9EF9-4258-A813-E6067D3F0D21}"/>
    <cellStyle name="Total 12" xfId="3201" xr:uid="{6E8B2386-E710-47B1-88E6-623510A1033A}"/>
    <cellStyle name="Total 12 2" xfId="3202" xr:uid="{B4E91150-C89A-42DB-9F76-0D2837E0BF9B}"/>
    <cellStyle name="Total 12 2 2" xfId="3203" xr:uid="{8BC91A8C-2D5B-44F3-B817-C9EF27E0AE7D}"/>
    <cellStyle name="Total 12 2 3" xfId="3204" xr:uid="{BB42E70F-4FB8-49AC-89F0-4B62ECFE589B}"/>
    <cellStyle name="Total 13" xfId="3205" xr:uid="{8E9EF23E-207D-406C-8D2F-EC16095132A9}"/>
    <cellStyle name="Total 14" xfId="3206" xr:uid="{899DF46A-C9DE-4850-B272-25AA8BD19AC4}"/>
    <cellStyle name="Total 15" xfId="3207" xr:uid="{0A5CA84E-DDD1-4609-ACF0-08434AB3F03A}"/>
    <cellStyle name="Total 16" xfId="3208" xr:uid="{4AB50A8E-A08A-488C-A0C9-BB72F78F6E0C}"/>
    <cellStyle name="Total 17" xfId="3209" xr:uid="{5EA5EEA3-9721-48C6-A58A-2E4FB2220C2A}"/>
    <cellStyle name="Total 18" xfId="3210" xr:uid="{B447A12C-32B7-41A5-B18D-B0A55808CFE6}"/>
    <cellStyle name="Total 19" xfId="3211" xr:uid="{A442FAF1-5C32-4F8D-AF9A-7365692A0726}"/>
    <cellStyle name="Total 2" xfId="3212" xr:uid="{3D2F603E-3D64-4178-8905-3AF6E8EA380A}"/>
    <cellStyle name="Total 2 2" xfId="3213" xr:uid="{E9DCC468-C126-4B8C-8230-83EB2EE550A8}"/>
    <cellStyle name="Total 2 2 2" xfId="3214" xr:uid="{4046057B-D147-4564-BF72-2B1C78BB35B9}"/>
    <cellStyle name="Total 2 2 2 2" xfId="3215" xr:uid="{20B7561B-5E82-45AA-9521-002366B04773}"/>
    <cellStyle name="Total 2 2 2 3" xfId="3216" xr:uid="{843F9A9D-D119-48E9-95B4-E465B460735D}"/>
    <cellStyle name="Total 2 2 3" xfId="3217" xr:uid="{5405317E-1836-4468-A78F-FAF30021FCCD}"/>
    <cellStyle name="Total 2 2 4" xfId="3218" xr:uid="{8931EBC4-D2F3-4885-A85E-78800A30F044}"/>
    <cellStyle name="Total 2 2 5" xfId="7143" xr:uid="{749C9347-1612-4C99-83D6-C375E033B5AF}"/>
    <cellStyle name="Total 2 3" xfId="3430" xr:uid="{198669B6-7E9C-4EDD-8977-9D089D486878}"/>
    <cellStyle name="Total 20" xfId="3219" xr:uid="{156C0809-6736-4B92-918A-B946846F090E}"/>
    <cellStyle name="Total 21" xfId="3220" xr:uid="{41126C93-E5DC-41B4-8592-69416455F8E5}"/>
    <cellStyle name="Total 22" xfId="3221" xr:uid="{61202B8B-19BA-43AA-951E-754B38CA3E55}"/>
    <cellStyle name="Total 23" xfId="3222" xr:uid="{0E9C8D76-810E-4AB3-A7E7-42302DAA9DEB}"/>
    <cellStyle name="Total 24" xfId="3223" xr:uid="{94A0118F-202B-46C1-9140-4F47CBAB07D5}"/>
    <cellStyle name="Total 25" xfId="3224" xr:uid="{6E7FC0DE-41D3-4137-864B-09A388515BE6}"/>
    <cellStyle name="Total 26" xfId="3225" xr:uid="{34A936CB-49D9-4851-85BF-188405D8FEF9}"/>
    <cellStyle name="Total 27" xfId="3304" xr:uid="{72C3480D-B856-40DA-874C-6DB1BEA99D99}"/>
    <cellStyle name="Total 3" xfId="3226" xr:uid="{EA30BC13-B9CE-4BDF-A148-02E334C348CD}"/>
    <cellStyle name="Total 3 2" xfId="3227" xr:uid="{D6CDB613-8DE4-4059-906C-319106E108EC}"/>
    <cellStyle name="Total 3 2 2" xfId="3228" xr:uid="{5DFA8991-7CC3-4797-A2A9-6EDC9DBEE7E8}"/>
    <cellStyle name="Total 3 2 3" xfId="3229" xr:uid="{2CE51268-56C6-47D5-A0AD-10E8B0637CF4}"/>
    <cellStyle name="Total 3 2 4" xfId="7144" xr:uid="{16E729F6-469E-4D72-8B9B-E2EC78E2FD2A}"/>
    <cellStyle name="Total 3 3" xfId="3445" xr:uid="{83B1CB82-E364-4900-90C6-781140D72B71}"/>
    <cellStyle name="Total 4" xfId="3230" xr:uid="{B615F31D-B4DC-457E-B146-6378FCCA51CF}"/>
    <cellStyle name="Total 4 2" xfId="3231" xr:uid="{EF65FAA7-2F03-4854-BED6-DE6CADF397A5}"/>
    <cellStyle name="Total 4 2 2" xfId="3232" xr:uid="{656273CB-A715-46F1-AF32-AD59B12A8EED}"/>
    <cellStyle name="Total 4 2 3" xfId="3233" xr:uid="{796A0B94-F3EF-40CF-B5D3-C607402EA873}"/>
    <cellStyle name="Total 4 2 4" xfId="7146" xr:uid="{C3B34407-BDF4-4390-82DC-EF3752C20061}"/>
    <cellStyle name="Total 4 3" xfId="7145" xr:uid="{7319A8B8-087B-4C14-9C04-699CDE84453B}"/>
    <cellStyle name="Total 5" xfId="3234" xr:uid="{DE466C84-085C-4AC9-8B5C-786B137170D6}"/>
    <cellStyle name="Total 5 2" xfId="3235" xr:uid="{E89A6DB6-732A-47CE-95E2-6D7F6E1B33E6}"/>
    <cellStyle name="Total 5 2 2" xfId="3236" xr:uid="{4B6793BA-ED80-4178-BE1F-5FEA14E2D453}"/>
    <cellStyle name="Total 5 2 3" xfId="3237" xr:uid="{CE8E8DAA-54ED-40D7-A175-38CB03BF3266}"/>
    <cellStyle name="Total 5 2 4" xfId="7148" xr:uid="{FC60AE7D-B3D7-45D3-9E04-612AAE26A3C5}"/>
    <cellStyle name="Total 5 3" xfId="7147" xr:uid="{1E5CE7C0-EDA0-407B-8F17-64440FECA14B}"/>
    <cellStyle name="Total 6" xfId="3238" xr:uid="{11B453E3-30F7-4919-83E9-2E9B2D6A7A2B}"/>
    <cellStyle name="Total 6 2" xfId="3239" xr:uid="{E61BDF47-ABDF-46E0-BDA4-452F740D290C}"/>
    <cellStyle name="Total 6 2 2" xfId="3240" xr:uid="{67C9B106-21DA-4793-AD19-CFC8EA8AD34A}"/>
    <cellStyle name="Total 6 2 3" xfId="3241" xr:uid="{2E1456C5-9B0D-4148-960A-36224C45BA56}"/>
    <cellStyle name="Total 7" xfId="3242" xr:uid="{E716FB48-CA61-4F23-B48E-C0FF747FE9A7}"/>
    <cellStyle name="Total 7 2" xfId="3243" xr:uid="{42AC7E33-E16D-4361-B912-59D133080B9A}"/>
    <cellStyle name="Total 7 2 2" xfId="3244" xr:uid="{51EBB83D-8889-4FAA-9DD1-1BE45A4810E6}"/>
    <cellStyle name="Total 7 2 3" xfId="3245" xr:uid="{97C3C5D5-BEB8-427F-8DC9-58A5ED9907C3}"/>
    <cellStyle name="Total 8" xfId="3246" xr:uid="{69657C9F-D8BE-4BEA-91A4-3559BA8CBCB8}"/>
    <cellStyle name="Total 8 2" xfId="3247" xr:uid="{7FB7AC54-A914-4069-9AC7-8800AA112C63}"/>
    <cellStyle name="Total 8 2 2" xfId="3248" xr:uid="{79BB8083-B0E6-4F46-8921-2AACABF1D5E3}"/>
    <cellStyle name="Total 8 2 3" xfId="3249" xr:uid="{A273FACB-4746-427F-B2CA-AD7784CD7DCB}"/>
    <cellStyle name="Total 9" xfId="3250" xr:uid="{05B7A7DE-06B4-4891-AA22-5666D8DDD8F2}"/>
    <cellStyle name="Total 9 2" xfId="3251" xr:uid="{6C30E320-6019-40BB-B82D-2675CEB22C1E}"/>
    <cellStyle name="Total 9 2 2" xfId="3252" xr:uid="{BEA62F9E-11B5-4792-A8B0-58C5C6128921}"/>
    <cellStyle name="Total 9 2 3" xfId="3253" xr:uid="{04C26BE1-2F80-420E-8BB1-57D22764617D}"/>
    <cellStyle name="Tytuł 2" xfId="3263" xr:uid="{EB65070A-70EF-4ED5-8D49-B9770C4C2153}"/>
    <cellStyle name="Warning Text 2" xfId="3254" xr:uid="{0076A665-8A3C-4366-9650-A6893BC962BA}"/>
    <cellStyle name="Warning Text 2 2" xfId="7149" xr:uid="{EC5847E2-154E-45FA-A080-99C81E690AB7}"/>
    <cellStyle name="Warning Text 3" xfId="3255" xr:uid="{A4B251B6-74FD-45E7-B39E-EDCEF69DC8CA}"/>
    <cellStyle name="Warning Text 3 2" xfId="7151" xr:uid="{36CF1AA5-86DE-4177-8477-9CAA31D66224}"/>
    <cellStyle name="Warning Text 3 3" xfId="7150" xr:uid="{3E7D6EE4-0D88-462F-9037-C6619C290B2A}"/>
    <cellStyle name="Warning Text 4" xfId="7152" xr:uid="{50C0EAF6-EFA6-4786-8771-F5353DFA768C}"/>
    <cellStyle name="Warning Text 4 2" xfId="7153" xr:uid="{E156A6B7-5AE6-4F51-92BE-845CB20860F5}"/>
    <cellStyle name="Warning Text 5" xfId="7154" xr:uid="{3CFF18E7-973A-4F9D-904F-015577FD61B8}"/>
    <cellStyle name="Warning Text 5 2" xfId="7155" xr:uid="{816C8F6F-4C08-4434-B099-1EAD63882C8F}"/>
    <cellStyle name="Year" xfId="3256" xr:uid="{40601C5C-7DD0-444F-A8A6-6F90A6688B12}"/>
    <cellStyle name="year 2" xfId="3365" xr:uid="{B95BCFE7-0B82-486B-B831-9AE6D8ACA1EE}"/>
    <cellStyle name="Year 3" xfId="7709" xr:uid="{78FA9968-10AA-4B8E-88A4-174542C12CA0}"/>
    <cellStyle name="yellow" xfId="3366" xr:uid="{9D6D83E0-A269-48DA-9978-ED30D50849F3}"/>
    <cellStyle name="Zero" xfId="3257" xr:uid="{F8BD538F-3578-417A-BB50-9A7FE93E926B}"/>
    <cellStyle name="Zero 2" xfId="3258" xr:uid="{CC7C81F5-1BC0-44A3-B0DF-A1D7D0C375EB}"/>
    <cellStyle name="Zero 3" xfId="3259" xr:uid="{4E6404FC-B191-421A-B00A-1EEBCCC603C2}"/>
    <cellStyle name="Zero 4" xfId="3260" xr:uid="{C154815E-3892-4F82-9B2C-ED89883BD85B}"/>
    <cellStyle name="Zero 5" xfId="3261" xr:uid="{F6E931DE-E435-4268-B208-6FE85DFA9FA5}"/>
    <cellStyle name="Zero 6" xfId="3262" xr:uid="{6C568252-72B1-4E8C-9560-9DA65E69C813}"/>
    <cellStyle name="Zły 2" xfId="3269" xr:uid="{598695B1-9245-42F2-A811-C51876DD1FAC}"/>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Historical EBIT</a:t>
            </a:r>
            <a:r>
              <a:rPr lang="en-US" baseline="0"/>
              <a: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'Profitability Analysis'!$C$26:$F$26</c:f>
              <c:numCache>
                <c:formatCode>General</c:formatCode>
                <c:ptCount val="4"/>
                <c:pt idx="0">
                  <c:v>2022</c:v>
                </c:pt>
                <c:pt idx="1">
                  <c:v>2023</c:v>
                </c:pt>
                <c:pt idx="2">
                  <c:v>2024</c:v>
                </c:pt>
                <c:pt idx="3">
                  <c:v>2025</c:v>
                </c:pt>
              </c:numCache>
            </c:numRef>
          </c:xVal>
          <c:yVal>
            <c:numRef>
              <c:f>'Profitability Analysis'!$C$28:$F$28</c:f>
              <c:numCache>
                <c:formatCode>0.00%</c:formatCode>
                <c:ptCount val="4"/>
                <c:pt idx="0">
                  <c:v>0.34576402467246636</c:v>
                </c:pt>
                <c:pt idx="1">
                  <c:v>0.34515303808262421</c:v>
                </c:pt>
                <c:pt idx="2">
                  <c:v>0.35159520077557505</c:v>
                </c:pt>
                <c:pt idx="3">
                  <c:v>0.36899284605706623</c:v>
                </c:pt>
              </c:numCache>
            </c:numRef>
          </c:yVal>
          <c:smooth val="1"/>
          <c:extLst>
            <c:ext xmlns:c16="http://schemas.microsoft.com/office/drawing/2014/chart" uri="{C3380CC4-5D6E-409C-BE32-E72D297353CC}">
              <c16:uniqueId val="{00000000-A8E9-8A4D-9B7A-36AEC8FA59E5}"/>
            </c:ext>
          </c:extLst>
        </c:ser>
        <c:dLbls>
          <c:showLegendKey val="0"/>
          <c:showVal val="0"/>
          <c:showCatName val="0"/>
          <c:showSerName val="0"/>
          <c:showPercent val="0"/>
          <c:showBubbleSize val="0"/>
        </c:dLbls>
        <c:axId val="2121239616"/>
        <c:axId val="2121241408"/>
      </c:scatterChart>
      <c:valAx>
        <c:axId val="212123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121241408"/>
        <c:crosses val="autoZero"/>
        <c:crossBetween val="midCat"/>
      </c:valAx>
      <c:valAx>
        <c:axId val="2121241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121239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9</xdr:col>
      <xdr:colOff>139700</xdr:colOff>
      <xdr:row>18</xdr:row>
      <xdr:rowOff>76200</xdr:rowOff>
    </xdr:from>
    <xdr:to>
      <xdr:col>13</xdr:col>
      <xdr:colOff>787400</xdr:colOff>
      <xdr:row>23</xdr:row>
      <xdr:rowOff>63500</xdr:rowOff>
    </xdr:to>
    <xdr:sp macro="" textlink="">
      <xdr:nvSpPr>
        <xdr:cNvPr id="3" name="TextBox 2">
          <a:extLst>
            <a:ext uri="{FF2B5EF4-FFF2-40B4-BE49-F238E27FC236}">
              <a16:creationId xmlns:a16="http://schemas.microsoft.com/office/drawing/2014/main" id="{0A0B1DB8-6340-115B-58C9-B563CC9EA88B}"/>
            </a:ext>
          </a:extLst>
        </xdr:cNvPr>
        <xdr:cNvSpPr txBox="1"/>
      </xdr:nvSpPr>
      <xdr:spPr>
        <a:xfrm>
          <a:off x="9436100" y="3505200"/>
          <a:ext cx="4279900" cy="10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Historical RONIC over 2015–2025 was calculated at approximately 99% However, this level was considered unsustainable for the residual period. Therefore, a normalized RONIC of 14% was applied to reflect long-term maturity, competitive normalization,</a:t>
          </a:r>
          <a:r>
            <a:rPr lang="en-US" baseline="0"/>
            <a:t> especially given the growth potential for a monopolistic semi conductor company</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10</xdr:row>
      <xdr:rowOff>0</xdr:rowOff>
    </xdr:from>
    <xdr:ext cx="304800" cy="303646"/>
    <xdr:sp macro="" textlink="">
      <xdr:nvSpPr>
        <xdr:cNvPr id="2" name="AutoShape 1">
          <a:extLst>
            <a:ext uri="{FF2B5EF4-FFF2-40B4-BE49-F238E27FC236}">
              <a16:creationId xmlns:a16="http://schemas.microsoft.com/office/drawing/2014/main" id="{A6E61E63-70F5-7949-BACE-3AF6A07265CB}"/>
            </a:ext>
          </a:extLst>
        </xdr:cNvPr>
        <xdr:cNvSpPr>
          <a:spLocks noChangeAspect="1" noChangeArrowheads="1"/>
        </xdr:cNvSpPr>
      </xdr:nvSpPr>
      <xdr:spPr bwMode="auto">
        <a:xfrm>
          <a:off x="0" y="2032000"/>
          <a:ext cx="304800" cy="30364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9</xdr:row>
      <xdr:rowOff>0</xdr:rowOff>
    </xdr:from>
    <xdr:ext cx="304800" cy="303645"/>
    <xdr:sp macro="" textlink="">
      <xdr:nvSpPr>
        <xdr:cNvPr id="3" name="AutoShape 2">
          <a:extLst>
            <a:ext uri="{FF2B5EF4-FFF2-40B4-BE49-F238E27FC236}">
              <a16:creationId xmlns:a16="http://schemas.microsoft.com/office/drawing/2014/main" id="{D23FF7C0-5BEE-E943-8731-20036A5FCB0E}"/>
            </a:ext>
          </a:extLst>
        </xdr:cNvPr>
        <xdr:cNvSpPr>
          <a:spLocks noChangeAspect="1" noChangeArrowheads="1"/>
        </xdr:cNvSpPr>
      </xdr:nvSpPr>
      <xdr:spPr bwMode="auto">
        <a:xfrm>
          <a:off x="9753600" y="1828800"/>
          <a:ext cx="304800" cy="3036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0</xdr:colOff>
      <xdr:row>7</xdr:row>
      <xdr:rowOff>0</xdr:rowOff>
    </xdr:from>
    <xdr:ext cx="304800" cy="303645"/>
    <xdr:sp macro="" textlink="">
      <xdr:nvSpPr>
        <xdr:cNvPr id="4" name="AutoShape 3">
          <a:extLst>
            <a:ext uri="{FF2B5EF4-FFF2-40B4-BE49-F238E27FC236}">
              <a16:creationId xmlns:a16="http://schemas.microsoft.com/office/drawing/2014/main" id="{96A951A6-D3D1-EB4A-91D4-1482AA3263E5}"/>
            </a:ext>
          </a:extLst>
        </xdr:cNvPr>
        <xdr:cNvSpPr>
          <a:spLocks noChangeAspect="1" noChangeArrowheads="1"/>
        </xdr:cNvSpPr>
      </xdr:nvSpPr>
      <xdr:spPr bwMode="auto">
        <a:xfrm>
          <a:off x="10566400" y="1422400"/>
          <a:ext cx="304800" cy="30364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163527</xdr:colOff>
      <xdr:row>11</xdr:row>
      <xdr:rowOff>126967</xdr:rowOff>
    </xdr:from>
    <xdr:ext cx="7777018" cy="4887622"/>
    <xdr:pic>
      <xdr:nvPicPr>
        <xdr:cNvPr id="5" name="Obraz 4">
          <a:extLst>
            <a:ext uri="{FF2B5EF4-FFF2-40B4-BE49-F238E27FC236}">
              <a16:creationId xmlns:a16="http://schemas.microsoft.com/office/drawing/2014/main" id="{99E58820-3A92-D742-9E79-605B6CA755D6}"/>
            </a:ext>
            <a:ext uri="{147F2762-F138-4A5C-976F-8EAC2B608ADB}">
              <a16:predDERef xmlns:a16="http://schemas.microsoft.com/office/drawing/2014/main" pred="{96A951A6-D3D1-EB4A-91D4-1482AA3263E5}"/>
            </a:ext>
          </a:extLst>
        </xdr:cNvPr>
        <xdr:cNvPicPr>
          <a:picLocks noChangeAspect="1"/>
        </xdr:cNvPicPr>
      </xdr:nvPicPr>
      <xdr:blipFill>
        <a:blip xmlns:r="http://schemas.openxmlformats.org/officeDocument/2006/relationships" r:embed="rId1"/>
        <a:stretch>
          <a:fillRect/>
        </a:stretch>
      </xdr:blipFill>
      <xdr:spPr>
        <a:xfrm>
          <a:off x="18722460" y="2700834"/>
          <a:ext cx="7777018" cy="488762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596900</xdr:colOff>
          <xdr:row>2</xdr:row>
          <xdr:rowOff>101600</xdr:rowOff>
        </xdr:from>
        <xdr:to>
          <xdr:col>3</xdr:col>
          <xdr:colOff>495300</xdr:colOff>
          <xdr:row>4</xdr:row>
          <xdr:rowOff>165100</xdr:rowOff>
        </xdr:to>
        <xdr:sp macro="" textlink="">
          <xdr:nvSpPr>
            <xdr:cNvPr id="34817" name="Object 1" hidden="1">
              <a:extLst>
                <a:ext uri="{63B3BB69-23CF-44E3-9099-C40C66FF867C}">
                  <a14:compatExt spid="_x0000_s34817"/>
                </a:ext>
                <a:ext uri="{FF2B5EF4-FFF2-40B4-BE49-F238E27FC236}">
                  <a16:creationId xmlns:a16="http://schemas.microsoft.com/office/drawing/2014/main" id="{00000000-0008-0000-0700-0000018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xdr:col>
      <xdr:colOff>1784350</xdr:colOff>
      <xdr:row>31</xdr:row>
      <xdr:rowOff>107950</xdr:rowOff>
    </xdr:from>
    <xdr:to>
      <xdr:col>5</xdr:col>
      <xdr:colOff>857250</xdr:colOff>
      <xdr:row>45</xdr:row>
      <xdr:rowOff>184150</xdr:rowOff>
    </xdr:to>
    <xdr:graphicFrame macro="">
      <xdr:nvGraphicFramePr>
        <xdr:cNvPr id="4" name="Chart 3">
          <a:extLst>
            <a:ext uri="{FF2B5EF4-FFF2-40B4-BE49-F238E27FC236}">
              <a16:creationId xmlns:a16="http://schemas.microsoft.com/office/drawing/2014/main" id="{A0EDBB85-B451-A851-04BC-D3E1742442D0}"/>
            </a:ext>
            <a:ext uri="{147F2762-F138-4A5C-976F-8EAC2B608ADB}">
              <a16:predDERef xmlns:a16="http://schemas.microsoft.com/office/drawing/2014/main" pred="{78585CD3-8B42-7A45-B335-0C0CCAA46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5.vml"/><Relationship Id="rId1" Type="http://schemas.openxmlformats.org/officeDocument/2006/relationships/drawing" Target="../drawings/drawing3.xml"/><Relationship Id="rId5" Type="http://schemas.openxmlformats.org/officeDocument/2006/relationships/comments" Target="../comments5.xml"/><Relationship Id="rId4" Type="http://schemas.openxmlformats.org/officeDocument/2006/relationships/image" Target="../media/image2.wmf"/></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10A7-54CE-D04A-AB20-9846C8FCB252}">
  <sheetPr>
    <tabColor theme="4"/>
  </sheetPr>
  <dimension ref="A1:AD50"/>
  <sheetViews>
    <sheetView tabSelected="1" zoomScale="75" workbookViewId="0">
      <selection activeCell="D38" sqref="D38"/>
    </sheetView>
  </sheetViews>
  <sheetFormatPr baseColWidth="10" defaultRowHeight="15"/>
  <cols>
    <col min="3" max="3" width="16.5" bestFit="1" customWidth="1"/>
    <col min="6" max="6" width="12.33203125" bestFit="1" customWidth="1"/>
    <col min="7" max="7" width="22.1640625" customWidth="1"/>
    <col min="8" max="8" width="10" customWidth="1"/>
    <col min="10" max="10" width="12.1640625" customWidth="1"/>
    <col min="11" max="11" width="11.6640625" customWidth="1"/>
    <col min="12" max="12" width="8" customWidth="1"/>
  </cols>
  <sheetData>
    <row r="1" spans="1:30">
      <c r="A1" s="405"/>
      <c r="B1" s="405"/>
      <c r="C1" s="405"/>
      <c r="D1" s="405"/>
      <c r="E1" s="405"/>
      <c r="F1" s="405"/>
      <c r="G1" s="405"/>
      <c r="H1" s="405"/>
      <c r="I1" s="405"/>
      <c r="J1" s="405"/>
      <c r="K1" s="405"/>
      <c r="L1" s="405"/>
      <c r="M1" s="405"/>
      <c r="N1" s="405"/>
      <c r="O1" s="405"/>
      <c r="P1" s="405"/>
      <c r="Q1" s="405"/>
      <c r="R1" s="405"/>
      <c r="S1" s="405"/>
      <c r="T1" s="405"/>
      <c r="U1" s="405"/>
      <c r="V1" s="405"/>
      <c r="W1" s="405"/>
      <c r="X1" s="405"/>
      <c r="Y1" s="405"/>
      <c r="Z1" s="405"/>
      <c r="AA1" s="405"/>
      <c r="AB1" s="405"/>
      <c r="AC1" s="405"/>
      <c r="AD1" s="405"/>
    </row>
    <row r="2" spans="1:30">
      <c r="A2" s="405"/>
      <c r="B2" s="418" t="s">
        <v>431</v>
      </c>
      <c r="C2" s="418"/>
      <c r="D2" s="418"/>
      <c r="E2" s="418"/>
      <c r="F2" s="418"/>
      <c r="G2" s="418"/>
      <c r="H2" s="418"/>
      <c r="I2" s="418"/>
      <c r="J2" s="418"/>
      <c r="K2" s="418"/>
      <c r="L2" s="418"/>
      <c r="M2" s="418"/>
      <c r="N2" s="405"/>
      <c r="O2" s="405"/>
      <c r="P2" s="405"/>
      <c r="Q2" s="405"/>
      <c r="R2" s="405"/>
      <c r="S2" s="405"/>
      <c r="T2" s="405"/>
      <c r="U2" s="405"/>
      <c r="V2" s="405"/>
      <c r="W2" s="405"/>
      <c r="X2" s="405"/>
      <c r="Y2" s="405"/>
      <c r="Z2" s="405"/>
      <c r="AA2" s="405"/>
      <c r="AB2" s="405"/>
      <c r="AC2" s="405"/>
      <c r="AD2" s="405"/>
    </row>
    <row r="3" spans="1:30" ht="16" thickBot="1">
      <c r="A3" s="405"/>
      <c r="B3" s="419"/>
      <c r="C3" s="419"/>
      <c r="D3" s="419"/>
      <c r="E3" s="419"/>
      <c r="F3" s="419"/>
      <c r="G3" s="419"/>
      <c r="H3" s="419"/>
      <c r="I3" s="419"/>
      <c r="J3" s="419"/>
      <c r="K3" s="419"/>
      <c r="L3" s="419"/>
      <c r="M3" s="419"/>
      <c r="N3" s="405"/>
      <c r="O3" s="405"/>
      <c r="P3" s="405"/>
      <c r="Q3" s="405"/>
      <c r="R3" s="405"/>
      <c r="S3" s="405"/>
      <c r="T3" s="405"/>
      <c r="U3" s="405"/>
      <c r="V3" s="405"/>
      <c r="W3" s="405"/>
      <c r="X3" s="405"/>
      <c r="Y3" s="405"/>
      <c r="Z3" s="405"/>
      <c r="AA3" s="405"/>
      <c r="AB3" s="405"/>
      <c r="AC3" s="405"/>
      <c r="AD3" s="405"/>
    </row>
    <row r="4" spans="1:30">
      <c r="A4" s="405"/>
      <c r="B4" s="426" t="s">
        <v>415</v>
      </c>
      <c r="C4" s="427"/>
      <c r="D4" s="427"/>
      <c r="E4" s="427"/>
      <c r="F4" s="427"/>
      <c r="G4" s="427"/>
      <c r="H4" s="427"/>
      <c r="I4" s="427"/>
      <c r="J4" s="427"/>
      <c r="K4" s="427"/>
      <c r="L4" s="427"/>
      <c r="M4" s="448"/>
      <c r="N4" s="405"/>
      <c r="O4" s="405"/>
      <c r="P4" s="405"/>
      <c r="Q4" s="405"/>
      <c r="R4" s="405"/>
      <c r="S4" s="405"/>
      <c r="T4" s="405"/>
      <c r="U4" s="405"/>
      <c r="V4" s="405"/>
      <c r="W4" s="405"/>
      <c r="X4" s="405"/>
      <c r="Y4" s="405"/>
      <c r="Z4" s="405"/>
      <c r="AA4" s="405"/>
      <c r="AB4" s="405"/>
      <c r="AC4" s="405"/>
      <c r="AD4" s="405"/>
    </row>
    <row r="5" spans="1:30">
      <c r="A5" s="405"/>
      <c r="B5" s="428"/>
      <c r="C5" s="429"/>
      <c r="D5" s="429"/>
      <c r="E5" s="429"/>
      <c r="F5" s="429"/>
      <c r="G5" s="429"/>
      <c r="H5" s="429"/>
      <c r="I5" s="429"/>
      <c r="J5" s="429"/>
      <c r="K5" s="429"/>
      <c r="L5" s="429"/>
      <c r="M5" s="449"/>
      <c r="N5" s="405"/>
      <c r="O5" s="405"/>
      <c r="P5" s="405"/>
      <c r="Q5" s="405"/>
      <c r="R5" s="405"/>
      <c r="S5" s="405"/>
      <c r="T5" s="405"/>
      <c r="U5" s="405"/>
      <c r="V5" s="405"/>
      <c r="W5" s="405"/>
      <c r="X5" s="405"/>
      <c r="Y5" s="405"/>
      <c r="Z5" s="405"/>
      <c r="AA5" s="405"/>
      <c r="AB5" s="405"/>
      <c r="AC5" s="405"/>
      <c r="AD5" s="405"/>
    </row>
    <row r="6" spans="1:30" ht="16" thickBot="1">
      <c r="A6" s="405"/>
      <c r="B6" s="430"/>
      <c r="C6" s="431"/>
      <c r="D6" s="431"/>
      <c r="E6" s="431"/>
      <c r="F6" s="431"/>
      <c r="G6" s="431"/>
      <c r="H6" s="431"/>
      <c r="I6" s="431"/>
      <c r="J6" s="431"/>
      <c r="K6" s="431"/>
      <c r="L6" s="431"/>
      <c r="M6" s="450"/>
      <c r="N6" s="405"/>
      <c r="O6" s="405"/>
      <c r="P6" s="405"/>
      <c r="Q6" s="405"/>
      <c r="R6" s="405"/>
      <c r="S6" s="405"/>
      <c r="T6" s="405"/>
      <c r="U6" s="405"/>
      <c r="V6" s="405"/>
      <c r="W6" s="405"/>
      <c r="X6" s="405"/>
      <c r="Y6" s="405"/>
      <c r="Z6" s="405"/>
      <c r="AA6" s="405"/>
      <c r="AB6" s="405"/>
      <c r="AC6" s="405"/>
      <c r="AD6" s="405"/>
    </row>
    <row r="7" spans="1:30" ht="15" customHeight="1">
      <c r="A7" s="405"/>
      <c r="B7" s="438" t="s">
        <v>418</v>
      </c>
      <c r="C7" s="420"/>
      <c r="D7" s="451">
        <v>46161</v>
      </c>
      <c r="E7" s="421"/>
      <c r="F7" s="438" t="s">
        <v>419</v>
      </c>
      <c r="G7" s="420"/>
      <c r="H7" s="452">
        <v>1249.8</v>
      </c>
      <c r="I7" s="453"/>
      <c r="J7" s="458" t="s">
        <v>420</v>
      </c>
      <c r="K7" s="459"/>
      <c r="L7" s="452">
        <f>'DCF Model'!D76</f>
        <v>724.28576743602366</v>
      </c>
      <c r="M7" s="453"/>
      <c r="N7" s="405"/>
      <c r="O7" s="405"/>
      <c r="P7" s="405"/>
      <c r="Q7" s="405"/>
      <c r="R7" s="405"/>
      <c r="S7" s="405"/>
      <c r="T7" s="405"/>
      <c r="U7" s="405"/>
      <c r="V7" s="405"/>
      <c r="W7" s="405"/>
      <c r="X7" s="405"/>
      <c r="Y7" s="405"/>
      <c r="Z7" s="405"/>
      <c r="AA7" s="405"/>
      <c r="AB7" s="405"/>
      <c r="AC7" s="405"/>
      <c r="AD7" s="405"/>
    </row>
    <row r="8" spans="1:30" ht="15" customHeight="1">
      <c r="A8" s="405"/>
      <c r="B8" s="439"/>
      <c r="C8" s="422"/>
      <c r="D8" s="422"/>
      <c r="E8" s="423"/>
      <c r="F8" s="439"/>
      <c r="G8" s="422"/>
      <c r="H8" s="454"/>
      <c r="I8" s="455"/>
      <c r="J8" s="460"/>
      <c r="K8" s="461"/>
      <c r="L8" s="454"/>
      <c r="M8" s="455"/>
      <c r="N8" s="405"/>
      <c r="O8" s="405"/>
      <c r="P8" s="405"/>
      <c r="Q8" s="405"/>
      <c r="R8" s="405"/>
      <c r="S8" s="405"/>
      <c r="T8" s="405"/>
      <c r="U8" s="405"/>
      <c r="V8" s="405"/>
      <c r="W8" s="405"/>
      <c r="X8" s="405"/>
      <c r="Y8" s="405"/>
      <c r="Z8" s="405"/>
      <c r="AA8" s="405"/>
      <c r="AB8" s="405"/>
      <c r="AC8" s="405"/>
      <c r="AD8" s="405"/>
    </row>
    <row r="9" spans="1:30" ht="15" customHeight="1">
      <c r="A9" s="405"/>
      <c r="B9" s="439"/>
      <c r="C9" s="422"/>
      <c r="D9" s="422"/>
      <c r="E9" s="423"/>
      <c r="F9" s="439"/>
      <c r="G9" s="422"/>
      <c r="H9" s="454"/>
      <c r="I9" s="455"/>
      <c r="J9" s="460"/>
      <c r="K9" s="461"/>
      <c r="L9" s="454"/>
      <c r="M9" s="455"/>
      <c r="N9" s="405"/>
      <c r="O9" s="405"/>
      <c r="P9" s="405"/>
      <c r="Q9" s="405"/>
      <c r="R9" s="405"/>
      <c r="S9" s="405"/>
      <c r="T9" s="405"/>
      <c r="U9" s="405"/>
      <c r="V9" s="405"/>
      <c r="W9" s="405"/>
      <c r="X9" s="405"/>
      <c r="Y9" s="405"/>
      <c r="Z9" s="405"/>
      <c r="AA9" s="405"/>
      <c r="AB9" s="405"/>
      <c r="AC9" s="405"/>
      <c r="AD9" s="405"/>
    </row>
    <row r="10" spans="1:30" ht="16" customHeight="1" thickBot="1">
      <c r="A10" s="405"/>
      <c r="B10" s="440"/>
      <c r="C10" s="424"/>
      <c r="D10" s="424"/>
      <c r="E10" s="425"/>
      <c r="F10" s="440"/>
      <c r="G10" s="424"/>
      <c r="H10" s="456"/>
      <c r="I10" s="457"/>
      <c r="J10" s="462"/>
      <c r="K10" s="463"/>
      <c r="L10" s="456"/>
      <c r="M10" s="457"/>
      <c r="N10" s="405"/>
      <c r="O10" s="405"/>
      <c r="P10" s="405"/>
      <c r="Q10" s="405"/>
      <c r="R10" s="405"/>
      <c r="S10" s="405"/>
      <c r="T10" s="405"/>
      <c r="U10" s="405"/>
      <c r="V10" s="405"/>
      <c r="W10" s="405"/>
      <c r="X10" s="405"/>
      <c r="Y10" s="405"/>
      <c r="Z10" s="405"/>
      <c r="AA10" s="405"/>
      <c r="AB10" s="405"/>
      <c r="AC10" s="405"/>
      <c r="AD10" s="405"/>
    </row>
    <row r="11" spans="1:30">
      <c r="A11" s="405"/>
      <c r="B11" s="438" t="s">
        <v>421</v>
      </c>
      <c r="C11" s="420"/>
      <c r="D11" s="441">
        <f>('DCF Model'!D76-H7)/H7</f>
        <v>-0.42047866263720302</v>
      </c>
      <c r="E11" s="421"/>
      <c r="F11" s="438" t="s">
        <v>422</v>
      </c>
      <c r="G11" s="420"/>
      <c r="H11" s="442">
        <f>(H7-'DCF Model'!D76)/'DCF Model'!D76</f>
        <v>0.72556200355047717</v>
      </c>
      <c r="I11" s="443"/>
      <c r="J11" s="438" t="s">
        <v>423</v>
      </c>
      <c r="K11" s="420"/>
      <c r="L11" s="420" t="s">
        <v>416</v>
      </c>
      <c r="M11" s="421"/>
      <c r="N11" s="405"/>
      <c r="O11" s="405"/>
      <c r="P11" s="405"/>
      <c r="Q11" s="405"/>
      <c r="R11" s="405"/>
      <c r="S11" s="405"/>
      <c r="T11" s="405"/>
      <c r="U11" s="405"/>
      <c r="V11" s="405"/>
      <c r="W11" s="405"/>
      <c r="X11" s="405"/>
      <c r="Y11" s="405"/>
      <c r="Z11" s="405"/>
      <c r="AA11" s="405"/>
      <c r="AB11" s="405"/>
      <c r="AC11" s="405"/>
      <c r="AD11" s="405"/>
    </row>
    <row r="12" spans="1:30">
      <c r="A12" s="405"/>
      <c r="B12" s="439"/>
      <c r="C12" s="422"/>
      <c r="D12" s="422"/>
      <c r="E12" s="423"/>
      <c r="F12" s="439"/>
      <c r="G12" s="422"/>
      <c r="H12" s="444"/>
      <c r="I12" s="445"/>
      <c r="J12" s="439"/>
      <c r="K12" s="422"/>
      <c r="L12" s="422"/>
      <c r="M12" s="423"/>
      <c r="N12" s="405"/>
      <c r="O12" s="405"/>
      <c r="P12" s="405"/>
      <c r="Q12" s="405"/>
      <c r="R12" s="405"/>
      <c r="S12" s="405"/>
      <c r="T12" s="405"/>
      <c r="U12" s="405"/>
      <c r="V12" s="405"/>
      <c r="W12" s="405"/>
      <c r="X12" s="405"/>
      <c r="Y12" s="405"/>
      <c r="Z12" s="405"/>
      <c r="AA12" s="405"/>
      <c r="AB12" s="405"/>
      <c r="AC12" s="405"/>
      <c r="AD12" s="405"/>
    </row>
    <row r="13" spans="1:30">
      <c r="A13" s="405"/>
      <c r="B13" s="439"/>
      <c r="C13" s="422"/>
      <c r="D13" s="422"/>
      <c r="E13" s="423"/>
      <c r="F13" s="439"/>
      <c r="G13" s="422"/>
      <c r="H13" s="444"/>
      <c r="I13" s="445"/>
      <c r="J13" s="439"/>
      <c r="K13" s="422"/>
      <c r="L13" s="422"/>
      <c r="M13" s="423"/>
      <c r="N13" s="405"/>
      <c r="O13" s="405"/>
      <c r="P13" s="405"/>
      <c r="Q13" s="405"/>
      <c r="R13" s="405"/>
      <c r="S13" s="405"/>
      <c r="T13" s="405"/>
      <c r="U13" s="405"/>
      <c r="V13" s="405"/>
      <c r="W13" s="405"/>
      <c r="X13" s="405"/>
      <c r="Y13" s="405"/>
      <c r="Z13" s="405"/>
      <c r="AA13" s="405"/>
      <c r="AB13" s="405"/>
      <c r="AC13" s="405"/>
      <c r="AD13" s="405"/>
    </row>
    <row r="14" spans="1:30">
      <c r="A14" s="405"/>
      <c r="B14" s="439"/>
      <c r="C14" s="422"/>
      <c r="D14" s="422"/>
      <c r="E14" s="423"/>
      <c r="F14" s="439"/>
      <c r="G14" s="422"/>
      <c r="H14" s="444"/>
      <c r="I14" s="445"/>
      <c r="J14" s="439"/>
      <c r="K14" s="422"/>
      <c r="L14" s="422"/>
      <c r="M14" s="423"/>
      <c r="N14" s="405"/>
      <c r="O14" s="405"/>
      <c r="P14" s="405"/>
      <c r="Q14" s="405"/>
      <c r="R14" s="405"/>
      <c r="S14" s="405"/>
      <c r="T14" s="405"/>
      <c r="U14" s="405"/>
      <c r="V14" s="405"/>
      <c r="W14" s="405"/>
      <c r="X14" s="405"/>
      <c r="Y14" s="405"/>
      <c r="Z14" s="405"/>
      <c r="AA14" s="405"/>
      <c r="AB14" s="405"/>
      <c r="AC14" s="405"/>
      <c r="AD14" s="405"/>
    </row>
    <row r="15" spans="1:30" ht="16" thickBot="1">
      <c r="A15" s="405"/>
      <c r="B15" s="440"/>
      <c r="C15" s="424"/>
      <c r="D15" s="424"/>
      <c r="E15" s="425"/>
      <c r="F15" s="440"/>
      <c r="G15" s="424"/>
      <c r="H15" s="446"/>
      <c r="I15" s="447"/>
      <c r="J15" s="440"/>
      <c r="K15" s="424"/>
      <c r="L15" s="424"/>
      <c r="M15" s="425"/>
      <c r="N15" s="405"/>
      <c r="O15" s="405"/>
      <c r="P15" s="405"/>
      <c r="Q15" s="405"/>
      <c r="R15" s="405"/>
      <c r="S15" s="405"/>
      <c r="T15" s="405"/>
      <c r="U15" s="405"/>
      <c r="V15" s="405"/>
      <c r="W15" s="405"/>
      <c r="X15" s="405"/>
      <c r="Y15" s="405"/>
      <c r="Z15" s="405"/>
      <c r="AA15" s="405"/>
      <c r="AB15" s="405"/>
      <c r="AC15" s="405"/>
      <c r="AD15" s="405"/>
    </row>
    <row r="16" spans="1:30">
      <c r="A16" s="405"/>
      <c r="B16" s="438" t="s">
        <v>424</v>
      </c>
      <c r="C16" s="420"/>
      <c r="D16" s="441">
        <f>WACC!E36</f>
        <v>8.5549211698704067E-2</v>
      </c>
      <c r="E16" s="421"/>
      <c r="F16" s="438" t="s">
        <v>425</v>
      </c>
      <c r="G16" s="420"/>
      <c r="H16" s="441">
        <f>'Growth (g)'!E23</f>
        <v>3.0483507442039919E-2</v>
      </c>
      <c r="I16" s="421"/>
      <c r="J16" s="438" t="s">
        <v>426</v>
      </c>
      <c r="K16" s="420"/>
      <c r="L16" s="420" t="s">
        <v>417</v>
      </c>
      <c r="M16" s="421"/>
      <c r="N16" s="405"/>
      <c r="O16" s="405"/>
      <c r="P16" s="405"/>
      <c r="Q16" s="405"/>
      <c r="R16" s="405"/>
      <c r="S16" s="405"/>
      <c r="T16" s="405"/>
      <c r="U16" s="405"/>
      <c r="V16" s="405"/>
      <c r="W16" s="405"/>
      <c r="X16" s="405"/>
      <c r="Y16" s="405"/>
      <c r="Z16" s="405"/>
      <c r="AA16" s="405"/>
      <c r="AB16" s="405"/>
      <c r="AC16" s="405"/>
      <c r="AD16" s="405"/>
    </row>
    <row r="17" spans="1:30">
      <c r="A17" s="405"/>
      <c r="B17" s="439"/>
      <c r="C17" s="422"/>
      <c r="D17" s="422"/>
      <c r="E17" s="423"/>
      <c r="F17" s="439"/>
      <c r="G17" s="422"/>
      <c r="H17" s="422"/>
      <c r="I17" s="423"/>
      <c r="J17" s="439"/>
      <c r="K17" s="422"/>
      <c r="L17" s="422"/>
      <c r="M17" s="423"/>
      <c r="N17" s="405"/>
      <c r="O17" s="405"/>
      <c r="P17" s="405"/>
      <c r="Q17" s="405"/>
      <c r="R17" s="405"/>
      <c r="S17" s="405"/>
      <c r="T17" s="405"/>
      <c r="U17" s="405"/>
      <c r="V17" s="405"/>
      <c r="W17" s="405"/>
      <c r="X17" s="405"/>
      <c r="Y17" s="405"/>
      <c r="Z17" s="405"/>
      <c r="AA17" s="405"/>
      <c r="AB17" s="405"/>
      <c r="AC17" s="405"/>
      <c r="AD17" s="405"/>
    </row>
    <row r="18" spans="1:30">
      <c r="A18" s="405"/>
      <c r="B18" s="439"/>
      <c r="C18" s="422"/>
      <c r="D18" s="422"/>
      <c r="E18" s="423"/>
      <c r="F18" s="439"/>
      <c r="G18" s="422"/>
      <c r="H18" s="422"/>
      <c r="I18" s="423"/>
      <c r="J18" s="439"/>
      <c r="K18" s="422"/>
      <c r="L18" s="422"/>
      <c r="M18" s="423"/>
      <c r="N18" s="405"/>
      <c r="O18" s="405"/>
      <c r="P18" s="405"/>
      <c r="Q18" s="405"/>
      <c r="R18" s="405"/>
      <c r="S18" s="405"/>
      <c r="T18" s="405"/>
      <c r="U18" s="405"/>
      <c r="V18" s="405"/>
      <c r="W18" s="405"/>
      <c r="X18" s="405"/>
      <c r="Y18" s="405"/>
      <c r="Z18" s="405"/>
      <c r="AA18" s="405"/>
      <c r="AB18" s="405"/>
      <c r="AC18" s="405"/>
      <c r="AD18" s="405"/>
    </row>
    <row r="19" spans="1:30" ht="16" thickBot="1">
      <c r="A19" s="405"/>
      <c r="B19" s="440"/>
      <c r="C19" s="424"/>
      <c r="D19" s="424"/>
      <c r="E19" s="425"/>
      <c r="F19" s="440"/>
      <c r="G19" s="424"/>
      <c r="H19" s="424"/>
      <c r="I19" s="425"/>
      <c r="J19" s="440"/>
      <c r="K19" s="424"/>
      <c r="L19" s="424"/>
      <c r="M19" s="425"/>
      <c r="N19" s="405"/>
      <c r="O19" s="405"/>
      <c r="P19" s="405"/>
      <c r="Q19" s="405"/>
      <c r="R19" s="405"/>
      <c r="S19" s="405"/>
      <c r="T19" s="405"/>
      <c r="U19" s="405"/>
      <c r="V19" s="405"/>
      <c r="W19" s="405"/>
      <c r="X19" s="405"/>
      <c r="Y19" s="405"/>
      <c r="Z19" s="405"/>
      <c r="AA19" s="405"/>
      <c r="AB19" s="405"/>
      <c r="AC19" s="405"/>
      <c r="AD19" s="405"/>
    </row>
    <row r="20" spans="1:30">
      <c r="A20" s="405"/>
      <c r="B20" s="426" t="s">
        <v>427</v>
      </c>
      <c r="C20" s="427"/>
      <c r="D20" s="427"/>
      <c r="E20" s="427"/>
      <c r="F20" s="432">
        <f>'DCF Model'!D69</f>
        <v>270629.12048519228</v>
      </c>
      <c r="G20" s="433"/>
      <c r="H20" s="426" t="s">
        <v>428</v>
      </c>
      <c r="I20" s="427"/>
      <c r="J20" s="427"/>
      <c r="K20" s="432">
        <f>'DCF Model'!D72</f>
        <v>279154.22048519226</v>
      </c>
      <c r="L20" s="432"/>
      <c r="M20" s="433"/>
      <c r="N20" s="405"/>
      <c r="O20" s="405"/>
      <c r="P20" s="405"/>
      <c r="Q20" s="405"/>
      <c r="R20" s="405"/>
      <c r="S20" s="405"/>
      <c r="T20" s="405"/>
      <c r="U20" s="405"/>
      <c r="V20" s="405"/>
      <c r="W20" s="405"/>
      <c r="X20" s="405"/>
      <c r="Y20" s="405"/>
      <c r="Z20" s="405"/>
      <c r="AA20" s="405"/>
      <c r="AB20" s="405"/>
      <c r="AC20" s="405"/>
      <c r="AD20" s="405"/>
    </row>
    <row r="21" spans="1:30">
      <c r="A21" s="405"/>
      <c r="B21" s="428"/>
      <c r="C21" s="429"/>
      <c r="D21" s="429"/>
      <c r="E21" s="429"/>
      <c r="F21" s="434"/>
      <c r="G21" s="435"/>
      <c r="H21" s="428"/>
      <c r="I21" s="429"/>
      <c r="J21" s="429"/>
      <c r="K21" s="434"/>
      <c r="L21" s="434"/>
      <c r="M21" s="435"/>
      <c r="N21" s="405"/>
      <c r="O21" s="405"/>
      <c r="P21" s="405"/>
      <c r="Q21" s="405"/>
      <c r="R21" s="405"/>
      <c r="S21" s="405"/>
      <c r="T21" s="405"/>
      <c r="U21" s="405"/>
      <c r="V21" s="405"/>
      <c r="W21" s="405"/>
      <c r="X21" s="405"/>
      <c r="Y21" s="405"/>
      <c r="Z21" s="405"/>
      <c r="AA21" s="405"/>
      <c r="AB21" s="405"/>
      <c r="AC21" s="405"/>
      <c r="AD21" s="405"/>
    </row>
    <row r="22" spans="1:30">
      <c r="A22" s="405"/>
      <c r="B22" s="428"/>
      <c r="C22" s="429"/>
      <c r="D22" s="429"/>
      <c r="E22" s="429"/>
      <c r="F22" s="434"/>
      <c r="G22" s="435"/>
      <c r="H22" s="428"/>
      <c r="I22" s="429"/>
      <c r="J22" s="429"/>
      <c r="K22" s="434"/>
      <c r="L22" s="434"/>
      <c r="M22" s="435"/>
      <c r="N22" s="405"/>
      <c r="O22" s="405"/>
      <c r="P22" s="405"/>
      <c r="Q22" s="405"/>
      <c r="R22" s="405"/>
      <c r="S22" s="405"/>
      <c r="T22" s="405"/>
      <c r="U22" s="405"/>
      <c r="V22" s="405"/>
      <c r="W22" s="405"/>
      <c r="X22" s="405"/>
      <c r="Y22" s="405"/>
      <c r="Z22" s="405"/>
      <c r="AA22" s="405"/>
      <c r="AB22" s="405"/>
      <c r="AC22" s="405"/>
      <c r="AD22" s="405"/>
    </row>
    <row r="23" spans="1:30" ht="16" thickBot="1">
      <c r="A23" s="405"/>
      <c r="B23" s="430"/>
      <c r="C23" s="431"/>
      <c r="D23" s="431"/>
      <c r="E23" s="431"/>
      <c r="F23" s="436"/>
      <c r="G23" s="437"/>
      <c r="H23" s="430"/>
      <c r="I23" s="431"/>
      <c r="J23" s="431"/>
      <c r="K23" s="436"/>
      <c r="L23" s="436"/>
      <c r="M23" s="437"/>
      <c r="N23" s="405"/>
      <c r="O23" s="405"/>
      <c r="P23" s="405"/>
      <c r="Q23" s="405"/>
      <c r="R23" s="405"/>
      <c r="S23" s="405"/>
      <c r="T23" s="405"/>
      <c r="U23" s="405"/>
      <c r="V23" s="405"/>
      <c r="W23" s="405"/>
      <c r="X23" s="405"/>
      <c r="Y23" s="405"/>
      <c r="Z23" s="405"/>
      <c r="AA23" s="405"/>
      <c r="AB23" s="405"/>
      <c r="AC23" s="405"/>
      <c r="AD23" s="405"/>
    </row>
    <row r="24" spans="1:30" ht="15" customHeight="1">
      <c r="A24" s="405"/>
      <c r="B24" s="409" t="s">
        <v>432</v>
      </c>
      <c r="C24" s="410"/>
      <c r="D24" s="410"/>
      <c r="E24" s="410"/>
      <c r="F24" s="410"/>
      <c r="G24" s="410"/>
      <c r="H24" s="410"/>
      <c r="I24" s="410"/>
      <c r="J24" s="410"/>
      <c r="K24" s="410"/>
      <c r="L24" s="410"/>
      <c r="M24" s="411"/>
      <c r="N24" s="405"/>
      <c r="O24" s="405"/>
      <c r="P24" s="405"/>
      <c r="Q24" s="405"/>
      <c r="R24" s="405"/>
      <c r="S24" s="405"/>
      <c r="T24" s="405"/>
      <c r="U24" s="405"/>
      <c r="V24" s="405"/>
      <c r="W24" s="405"/>
      <c r="X24" s="405"/>
      <c r="Y24" s="405"/>
      <c r="Z24" s="405"/>
      <c r="AA24" s="405"/>
      <c r="AB24" s="405"/>
      <c r="AC24" s="405"/>
      <c r="AD24" s="405"/>
    </row>
    <row r="25" spans="1:30">
      <c r="A25" s="405"/>
      <c r="B25" s="412"/>
      <c r="C25" s="413"/>
      <c r="D25" s="413"/>
      <c r="E25" s="413"/>
      <c r="F25" s="413"/>
      <c r="G25" s="413"/>
      <c r="H25" s="413"/>
      <c r="I25" s="413"/>
      <c r="J25" s="413"/>
      <c r="K25" s="413"/>
      <c r="L25" s="413"/>
      <c r="M25" s="414"/>
      <c r="N25" s="405"/>
      <c r="O25" s="405"/>
      <c r="P25" s="405"/>
      <c r="Q25" s="405"/>
      <c r="R25" s="405"/>
      <c r="S25" s="405"/>
      <c r="T25" s="405"/>
      <c r="U25" s="405"/>
      <c r="V25" s="405"/>
      <c r="W25" s="405"/>
      <c r="X25" s="405"/>
      <c r="Y25" s="405"/>
      <c r="Z25" s="405"/>
      <c r="AA25" s="405"/>
      <c r="AB25" s="405"/>
      <c r="AC25" s="405"/>
      <c r="AD25" s="405"/>
    </row>
    <row r="26" spans="1:30">
      <c r="A26" s="405"/>
      <c r="B26" s="412"/>
      <c r="C26" s="413"/>
      <c r="D26" s="413"/>
      <c r="E26" s="413"/>
      <c r="F26" s="413"/>
      <c r="G26" s="413"/>
      <c r="H26" s="413"/>
      <c r="I26" s="413"/>
      <c r="J26" s="413"/>
      <c r="K26" s="413"/>
      <c r="L26" s="413"/>
      <c r="M26" s="414"/>
      <c r="N26" s="405"/>
      <c r="O26" s="405"/>
      <c r="P26" s="405"/>
      <c r="Q26" s="405"/>
      <c r="R26" s="405"/>
      <c r="S26" s="405"/>
      <c r="T26" s="405"/>
      <c r="U26" s="405"/>
      <c r="V26" s="405"/>
      <c r="W26" s="405"/>
      <c r="X26" s="405"/>
      <c r="Y26" s="405"/>
      <c r="Z26" s="405"/>
      <c r="AA26" s="405"/>
      <c r="AB26" s="405"/>
      <c r="AC26" s="405"/>
      <c r="AD26" s="405"/>
    </row>
    <row r="27" spans="1:30">
      <c r="A27" s="405"/>
      <c r="B27" s="412"/>
      <c r="C27" s="413"/>
      <c r="D27" s="413"/>
      <c r="E27" s="413"/>
      <c r="F27" s="413"/>
      <c r="G27" s="413"/>
      <c r="H27" s="413"/>
      <c r="I27" s="413"/>
      <c r="J27" s="413"/>
      <c r="K27" s="413"/>
      <c r="L27" s="413"/>
      <c r="M27" s="414"/>
      <c r="N27" s="405"/>
      <c r="O27" s="405"/>
      <c r="P27" s="405"/>
      <c r="Q27" s="405"/>
      <c r="R27" s="405"/>
      <c r="S27" s="405"/>
      <c r="T27" s="405"/>
      <c r="U27" s="405"/>
      <c r="V27" s="405"/>
      <c r="W27" s="405"/>
      <c r="X27" s="405"/>
      <c r="Y27" s="405"/>
      <c r="Z27" s="405"/>
      <c r="AA27" s="405"/>
      <c r="AB27" s="405"/>
      <c r="AC27" s="405"/>
      <c r="AD27" s="405"/>
    </row>
    <row r="28" spans="1:30">
      <c r="A28" s="405"/>
      <c r="B28" s="412"/>
      <c r="C28" s="413"/>
      <c r="D28" s="413"/>
      <c r="E28" s="413"/>
      <c r="F28" s="413"/>
      <c r="G28" s="413"/>
      <c r="H28" s="413"/>
      <c r="I28" s="413"/>
      <c r="J28" s="413"/>
      <c r="K28" s="413"/>
      <c r="L28" s="413"/>
      <c r="M28" s="414"/>
      <c r="N28" s="405"/>
      <c r="O28" s="405"/>
      <c r="P28" s="405"/>
      <c r="Q28" s="405"/>
      <c r="R28" s="405"/>
      <c r="S28" s="405"/>
      <c r="T28" s="405"/>
      <c r="U28" s="405"/>
      <c r="V28" s="405"/>
      <c r="W28" s="405"/>
      <c r="X28" s="405"/>
      <c r="Y28" s="405"/>
      <c r="Z28" s="405"/>
      <c r="AA28" s="405"/>
      <c r="AB28" s="405"/>
      <c r="AC28" s="405"/>
      <c r="AD28" s="405"/>
    </row>
    <row r="29" spans="1:30">
      <c r="A29" s="405"/>
      <c r="B29" s="412"/>
      <c r="C29" s="413"/>
      <c r="D29" s="413"/>
      <c r="E29" s="413"/>
      <c r="F29" s="413"/>
      <c r="G29" s="413"/>
      <c r="H29" s="413"/>
      <c r="I29" s="413"/>
      <c r="J29" s="413"/>
      <c r="K29" s="413"/>
      <c r="L29" s="413"/>
      <c r="M29" s="414"/>
      <c r="N29" s="405"/>
      <c r="O29" s="405"/>
      <c r="P29" s="405"/>
      <c r="Q29" s="405"/>
      <c r="R29" s="405"/>
      <c r="S29" s="405"/>
      <c r="T29" s="405"/>
      <c r="U29" s="405"/>
      <c r="V29" s="405"/>
      <c r="W29" s="405"/>
      <c r="X29" s="405"/>
      <c r="Y29" s="405"/>
      <c r="Z29" s="405"/>
      <c r="AA29" s="405"/>
      <c r="AB29" s="405"/>
      <c r="AC29" s="405"/>
      <c r="AD29" s="405"/>
    </row>
    <row r="30" spans="1:30">
      <c r="A30" s="405"/>
      <c r="B30" s="412"/>
      <c r="C30" s="413"/>
      <c r="D30" s="413"/>
      <c r="E30" s="413"/>
      <c r="F30" s="413"/>
      <c r="G30" s="413"/>
      <c r="H30" s="413"/>
      <c r="I30" s="413"/>
      <c r="J30" s="413"/>
      <c r="K30" s="413"/>
      <c r="L30" s="413"/>
      <c r="M30" s="414"/>
      <c r="N30" s="405"/>
      <c r="O30" s="405"/>
      <c r="P30" s="405"/>
      <c r="Q30" s="405"/>
      <c r="R30" s="405"/>
      <c r="S30" s="405"/>
      <c r="T30" s="405"/>
      <c r="U30" s="405"/>
      <c r="V30" s="405"/>
      <c r="W30" s="405"/>
      <c r="X30" s="405"/>
      <c r="Y30" s="405"/>
      <c r="Z30" s="405"/>
      <c r="AA30" s="405"/>
      <c r="AB30" s="405"/>
      <c r="AC30" s="405"/>
      <c r="AD30" s="405"/>
    </row>
    <row r="31" spans="1:30">
      <c r="A31" s="405"/>
      <c r="B31" s="412"/>
      <c r="C31" s="413"/>
      <c r="D31" s="413"/>
      <c r="E31" s="413"/>
      <c r="F31" s="413"/>
      <c r="G31" s="413"/>
      <c r="H31" s="413"/>
      <c r="I31" s="413"/>
      <c r="J31" s="413"/>
      <c r="K31" s="413"/>
      <c r="L31" s="413"/>
      <c r="M31" s="414"/>
      <c r="N31" s="405"/>
      <c r="O31" s="405"/>
      <c r="P31" s="405"/>
      <c r="Q31" s="405"/>
      <c r="R31" s="405"/>
      <c r="S31" s="405"/>
      <c r="T31" s="405"/>
      <c r="U31" s="405"/>
      <c r="V31" s="405"/>
      <c r="W31" s="405"/>
      <c r="X31" s="405"/>
      <c r="Y31" s="405"/>
      <c r="Z31" s="405"/>
      <c r="AA31" s="405"/>
      <c r="AB31" s="405"/>
      <c r="AC31" s="405"/>
      <c r="AD31" s="405"/>
    </row>
    <row r="32" spans="1:30">
      <c r="A32" s="405"/>
      <c r="B32" s="412"/>
      <c r="C32" s="413"/>
      <c r="D32" s="413"/>
      <c r="E32" s="413"/>
      <c r="F32" s="413"/>
      <c r="G32" s="413"/>
      <c r="H32" s="413"/>
      <c r="I32" s="413"/>
      <c r="J32" s="413"/>
      <c r="K32" s="413"/>
      <c r="L32" s="413"/>
      <c r="M32" s="414"/>
      <c r="N32" s="405"/>
      <c r="O32" s="405"/>
      <c r="P32" s="405"/>
      <c r="Q32" s="405"/>
      <c r="R32" s="405"/>
      <c r="S32" s="405"/>
      <c r="T32" s="405"/>
      <c r="U32" s="405"/>
      <c r="V32" s="405"/>
      <c r="W32" s="405"/>
      <c r="X32" s="405"/>
      <c r="Y32" s="405"/>
      <c r="Z32" s="405"/>
      <c r="AA32" s="405"/>
      <c r="AB32" s="405"/>
      <c r="AC32" s="405"/>
      <c r="AD32" s="405"/>
    </row>
    <row r="33" spans="1:30">
      <c r="A33" s="405"/>
      <c r="B33" s="412"/>
      <c r="C33" s="413"/>
      <c r="D33" s="413"/>
      <c r="E33" s="413"/>
      <c r="F33" s="413"/>
      <c r="G33" s="413"/>
      <c r="H33" s="413"/>
      <c r="I33" s="413"/>
      <c r="J33" s="413"/>
      <c r="K33" s="413"/>
      <c r="L33" s="413"/>
      <c r="M33" s="414"/>
      <c r="N33" s="405"/>
      <c r="O33" s="405"/>
      <c r="P33" s="405"/>
      <c r="Q33" s="405"/>
      <c r="R33" s="405"/>
      <c r="S33" s="405"/>
      <c r="T33" s="405"/>
      <c r="U33" s="405"/>
      <c r="V33" s="405"/>
      <c r="W33" s="405"/>
      <c r="X33" s="405"/>
      <c r="Y33" s="405"/>
      <c r="Z33" s="405"/>
      <c r="AA33" s="405"/>
      <c r="AB33" s="405"/>
      <c r="AC33" s="405"/>
      <c r="AD33" s="405"/>
    </row>
    <row r="34" spans="1:30">
      <c r="A34" s="405"/>
      <c r="B34" s="412"/>
      <c r="C34" s="413"/>
      <c r="D34" s="413"/>
      <c r="E34" s="413"/>
      <c r="F34" s="413"/>
      <c r="G34" s="413"/>
      <c r="H34" s="413"/>
      <c r="I34" s="413"/>
      <c r="J34" s="413"/>
      <c r="K34" s="413"/>
      <c r="L34" s="413"/>
      <c r="M34" s="414"/>
      <c r="N34" s="405"/>
      <c r="O34" s="405"/>
      <c r="P34" s="405"/>
      <c r="Q34" s="405"/>
      <c r="R34" s="405"/>
      <c r="S34" s="405"/>
      <c r="T34" s="405"/>
      <c r="U34" s="405"/>
      <c r="V34" s="405"/>
      <c r="W34" s="405"/>
      <c r="X34" s="405"/>
      <c r="Y34" s="405"/>
      <c r="Z34" s="405"/>
      <c r="AA34" s="405"/>
      <c r="AB34" s="405"/>
      <c r="AC34" s="405"/>
      <c r="AD34" s="405"/>
    </row>
    <row r="35" spans="1:30">
      <c r="A35" s="405"/>
      <c r="B35" s="412"/>
      <c r="C35" s="413"/>
      <c r="D35" s="413"/>
      <c r="E35" s="413"/>
      <c r="F35" s="413"/>
      <c r="G35" s="413"/>
      <c r="H35" s="413"/>
      <c r="I35" s="413"/>
      <c r="J35" s="413"/>
      <c r="K35" s="413"/>
      <c r="L35" s="413"/>
      <c r="M35" s="414"/>
      <c r="N35" s="405"/>
      <c r="O35" s="405"/>
      <c r="P35" s="405"/>
      <c r="Q35" s="405"/>
      <c r="R35" s="405"/>
      <c r="S35" s="405"/>
      <c r="T35" s="405"/>
      <c r="U35" s="405"/>
      <c r="V35" s="405"/>
      <c r="W35" s="405"/>
      <c r="X35" s="405"/>
      <c r="Y35" s="405"/>
      <c r="Z35" s="405"/>
      <c r="AA35" s="405"/>
      <c r="AB35" s="405"/>
      <c r="AC35" s="405"/>
      <c r="AD35" s="405"/>
    </row>
    <row r="36" spans="1:30" ht="16" thickBot="1">
      <c r="A36" s="405"/>
      <c r="B36" s="415"/>
      <c r="C36" s="416"/>
      <c r="D36" s="416"/>
      <c r="E36" s="416"/>
      <c r="F36" s="416"/>
      <c r="G36" s="416"/>
      <c r="H36" s="416"/>
      <c r="I36" s="416"/>
      <c r="J36" s="416"/>
      <c r="K36" s="416"/>
      <c r="L36" s="416"/>
      <c r="M36" s="417"/>
      <c r="N36" s="405"/>
      <c r="O36" s="405"/>
      <c r="P36" s="405"/>
      <c r="Q36" s="405"/>
      <c r="R36" s="405"/>
      <c r="S36" s="405"/>
      <c r="T36" s="405"/>
      <c r="U36" s="405"/>
      <c r="V36" s="405"/>
      <c r="W36" s="405"/>
      <c r="X36" s="405"/>
      <c r="Y36" s="405"/>
      <c r="Z36" s="405"/>
      <c r="AA36" s="405"/>
      <c r="AB36" s="405"/>
      <c r="AC36" s="405"/>
      <c r="AD36" s="405"/>
    </row>
    <row r="37" spans="1:30">
      <c r="A37" s="405"/>
      <c r="B37" s="405"/>
      <c r="C37" s="405"/>
      <c r="D37" s="405"/>
      <c r="E37" s="405"/>
      <c r="F37" s="405"/>
      <c r="G37" s="405"/>
      <c r="H37" s="405"/>
      <c r="I37" s="405"/>
      <c r="J37" s="405"/>
      <c r="K37" s="405"/>
      <c r="L37" s="405"/>
      <c r="M37" s="405"/>
      <c r="N37" s="405"/>
      <c r="O37" s="405"/>
      <c r="P37" s="405"/>
      <c r="Q37" s="405"/>
      <c r="R37" s="405"/>
      <c r="S37" s="405"/>
      <c r="T37" s="405"/>
      <c r="U37" s="405"/>
      <c r="V37" s="405"/>
      <c r="W37" s="405"/>
      <c r="X37" s="405"/>
      <c r="Y37" s="405"/>
      <c r="Z37" s="405"/>
      <c r="AA37" s="405"/>
      <c r="AB37" s="405"/>
      <c r="AC37" s="405"/>
      <c r="AD37" s="405"/>
    </row>
    <row r="38" spans="1:30">
      <c r="A38" s="405"/>
      <c r="B38" s="405"/>
      <c r="C38" s="405"/>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c r="AC38" s="405"/>
      <c r="AD38" s="405"/>
    </row>
    <row r="39" spans="1:30">
      <c r="A39" s="405"/>
      <c r="B39" s="405"/>
      <c r="C39" s="405"/>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c r="AC39" s="405"/>
      <c r="AD39" s="405"/>
    </row>
    <row r="40" spans="1:30">
      <c r="A40" s="405"/>
      <c r="B40" s="405"/>
      <c r="C40" s="405"/>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row>
    <row r="41" spans="1:30">
      <c r="A41" s="405"/>
      <c r="B41" s="405"/>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row>
    <row r="42" spans="1:30">
      <c r="A42" s="405"/>
      <c r="B42" s="405"/>
      <c r="C42" s="405"/>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row>
    <row r="43" spans="1:30">
      <c r="A43" s="405"/>
      <c r="B43" s="405"/>
      <c r="C43" s="405"/>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row>
    <row r="44" spans="1:30">
      <c r="A44" s="405"/>
      <c r="B44" s="405"/>
      <c r="C44" s="405"/>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row>
    <row r="45" spans="1:30">
      <c r="A45" s="405"/>
      <c r="B45" s="405"/>
      <c r="C45" s="405"/>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row>
    <row r="46" spans="1:30">
      <c r="A46" s="405"/>
      <c r="B46" s="405"/>
      <c r="C46" s="405"/>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row>
    <row r="47" spans="1:30">
      <c r="A47" s="405"/>
      <c r="B47" s="405"/>
      <c r="C47" s="405"/>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row>
    <row r="48" spans="1:30">
      <c r="A48" s="405"/>
      <c r="B48" s="405"/>
      <c r="C48" s="405"/>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row>
    <row r="49" spans="1:30">
      <c r="A49" s="405"/>
      <c r="B49" s="405"/>
      <c r="C49" s="405"/>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row>
    <row r="50" spans="1:30">
      <c r="A50" s="405"/>
      <c r="B50" s="405"/>
      <c r="C50" s="405"/>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row>
  </sheetData>
  <mergeCells count="25">
    <mergeCell ref="J11:K15"/>
    <mergeCell ref="L11:M15"/>
    <mergeCell ref="B4:M6"/>
    <mergeCell ref="B7:C10"/>
    <mergeCell ref="D7:E10"/>
    <mergeCell ref="F7:G10"/>
    <mergeCell ref="H7:I10"/>
    <mergeCell ref="J7:K10"/>
    <mergeCell ref="L7:M10"/>
    <mergeCell ref="B24:M36"/>
    <mergeCell ref="B2:M3"/>
    <mergeCell ref="L16:M19"/>
    <mergeCell ref="B20:E23"/>
    <mergeCell ref="F20:G23"/>
    <mergeCell ref="H20:J23"/>
    <mergeCell ref="K20:M23"/>
    <mergeCell ref="B16:C19"/>
    <mergeCell ref="D16:E19"/>
    <mergeCell ref="F16:G19"/>
    <mergeCell ref="H16:I19"/>
    <mergeCell ref="J16:K19"/>
    <mergeCell ref="B11:C15"/>
    <mergeCell ref="D11:E15"/>
    <mergeCell ref="F11:G15"/>
    <mergeCell ref="H11:I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D3DC-1A04-AE46-896D-468281545215}">
  <sheetPr>
    <tabColor theme="4"/>
  </sheetPr>
  <dimension ref="A1:Z39"/>
  <sheetViews>
    <sheetView workbookViewId="0">
      <selection activeCell="D32" sqref="D32"/>
    </sheetView>
  </sheetViews>
  <sheetFormatPr baseColWidth="10" defaultRowHeight="15"/>
  <cols>
    <col min="4" max="4" width="15.33203125" bestFit="1" customWidth="1"/>
    <col min="6" max="6" width="17.6640625" customWidth="1"/>
    <col min="8" max="8" width="18.5" customWidth="1"/>
    <col min="9" max="9" width="11.83203125" bestFit="1" customWidth="1"/>
    <col min="13" max="13" width="17.1640625" customWidth="1"/>
    <col min="14" max="14" width="16.33203125" customWidth="1"/>
  </cols>
  <sheetData>
    <row r="1" spans="1:26">
      <c r="A1" s="335"/>
      <c r="B1" s="335"/>
      <c r="C1" s="335"/>
      <c r="D1" s="335"/>
      <c r="E1" s="335"/>
      <c r="F1" s="335"/>
      <c r="G1" s="335"/>
      <c r="H1" s="335"/>
      <c r="I1" s="335"/>
      <c r="J1" s="335"/>
      <c r="K1" s="335"/>
      <c r="L1" s="335"/>
      <c r="M1" s="335"/>
      <c r="N1" s="335"/>
      <c r="O1" s="335"/>
      <c r="P1" s="335"/>
      <c r="Q1" s="335"/>
      <c r="R1" s="335"/>
      <c r="S1" s="335"/>
      <c r="T1" s="335"/>
      <c r="U1" s="335"/>
      <c r="V1" s="335"/>
      <c r="W1" s="335"/>
      <c r="X1" s="335"/>
      <c r="Y1" s="335"/>
      <c r="Z1" s="335"/>
    </row>
    <row r="2" spans="1:26" ht="16" thickBot="1">
      <c r="A2" s="335"/>
      <c r="B2" s="335"/>
      <c r="C2" s="335"/>
      <c r="D2" s="335"/>
      <c r="E2" s="335"/>
      <c r="F2" s="335"/>
      <c r="G2" s="335"/>
      <c r="H2" s="335"/>
      <c r="I2" s="335"/>
      <c r="J2" s="335"/>
      <c r="K2" s="335"/>
      <c r="L2" s="335"/>
      <c r="M2" s="335"/>
      <c r="N2" s="335"/>
      <c r="O2" s="335"/>
      <c r="P2" s="335"/>
      <c r="Q2" s="335"/>
      <c r="R2" s="335"/>
      <c r="S2" s="335"/>
      <c r="T2" s="335"/>
      <c r="U2" s="335"/>
      <c r="V2" s="335"/>
      <c r="W2" s="335"/>
      <c r="X2" s="335"/>
      <c r="Y2" s="335"/>
      <c r="Z2" s="335"/>
    </row>
    <row r="3" spans="1:26">
      <c r="A3" s="335"/>
      <c r="B3" s="335"/>
      <c r="C3" s="476" t="s">
        <v>382</v>
      </c>
      <c r="D3" s="477"/>
      <c r="E3" s="477"/>
      <c r="F3" s="477"/>
      <c r="G3" s="477"/>
      <c r="H3" s="477"/>
      <c r="I3" s="477"/>
      <c r="J3" s="478"/>
      <c r="K3" s="335"/>
      <c r="L3" s="335"/>
      <c r="M3" s="335"/>
      <c r="N3" s="335"/>
      <c r="O3" s="335"/>
      <c r="P3" s="335"/>
      <c r="Q3" s="335"/>
      <c r="R3" s="335"/>
      <c r="S3" s="335"/>
      <c r="T3" s="335"/>
      <c r="U3" s="335"/>
      <c r="V3" s="335"/>
      <c r="W3" s="335"/>
      <c r="X3" s="335"/>
      <c r="Y3" s="335"/>
      <c r="Z3" s="335"/>
    </row>
    <row r="4" spans="1:26">
      <c r="A4" s="335"/>
      <c r="B4" s="335"/>
      <c r="C4" s="479"/>
      <c r="D4" s="480"/>
      <c r="E4" s="480"/>
      <c r="F4" s="480"/>
      <c r="G4" s="480"/>
      <c r="H4" s="480"/>
      <c r="I4" s="480"/>
      <c r="J4" s="481"/>
      <c r="K4" s="335"/>
      <c r="L4" s="335"/>
      <c r="M4" s="335"/>
      <c r="N4" s="335"/>
      <c r="O4" s="335"/>
      <c r="P4" s="335"/>
      <c r="Q4" s="335"/>
      <c r="R4" s="335"/>
      <c r="S4" s="335"/>
      <c r="T4" s="335"/>
      <c r="U4" s="335"/>
      <c r="V4" s="335"/>
      <c r="W4" s="335"/>
      <c r="X4" s="335"/>
      <c r="Y4" s="335"/>
      <c r="Z4" s="335"/>
    </row>
    <row r="5" spans="1:26" ht="16" thickBot="1">
      <c r="A5" s="335"/>
      <c r="B5" s="335"/>
      <c r="C5" s="482"/>
      <c r="D5" s="483"/>
      <c r="E5" s="483"/>
      <c r="F5" s="483"/>
      <c r="G5" s="483"/>
      <c r="H5" s="483"/>
      <c r="I5" s="483"/>
      <c r="J5" s="484"/>
      <c r="K5" s="335"/>
      <c r="L5" s="335"/>
      <c r="M5" s="335"/>
      <c r="N5" s="335"/>
      <c r="O5" s="335"/>
      <c r="P5" s="335"/>
      <c r="Q5" s="335"/>
      <c r="R5" s="335"/>
      <c r="S5" s="335"/>
      <c r="T5" s="335"/>
      <c r="U5" s="335"/>
      <c r="V5" s="335"/>
      <c r="W5" s="335"/>
      <c r="X5" s="335"/>
      <c r="Y5" s="335"/>
      <c r="Z5" s="335"/>
    </row>
    <row r="6" spans="1:26">
      <c r="A6" s="335"/>
      <c r="B6" s="335"/>
      <c r="C6" s="335"/>
      <c r="D6" s="335"/>
      <c r="E6" s="335"/>
      <c r="F6" s="335"/>
      <c r="G6" s="335"/>
      <c r="H6" s="335"/>
      <c r="I6" s="335"/>
      <c r="J6" s="335"/>
      <c r="K6" s="335"/>
      <c r="L6" s="335"/>
      <c r="M6" s="335"/>
      <c r="N6" s="335"/>
      <c r="O6" s="335"/>
      <c r="P6" s="335"/>
      <c r="Q6" s="335"/>
      <c r="R6" s="335"/>
      <c r="S6" s="335"/>
      <c r="T6" s="335"/>
      <c r="U6" s="335"/>
      <c r="V6" s="335"/>
      <c r="W6" s="335"/>
      <c r="X6" s="335"/>
      <c r="Y6" s="335"/>
      <c r="Z6" s="335"/>
    </row>
    <row r="7" spans="1:26" ht="16" thickBot="1">
      <c r="A7" s="335"/>
      <c r="B7" s="335"/>
      <c r="C7" s="335"/>
      <c r="D7" s="335"/>
      <c r="E7" s="335"/>
      <c r="F7" s="335"/>
      <c r="G7" s="335"/>
      <c r="H7" s="335"/>
      <c r="I7" s="335"/>
      <c r="J7" s="335"/>
      <c r="K7" s="335"/>
      <c r="L7" s="335"/>
      <c r="M7" s="335"/>
      <c r="N7" s="335"/>
      <c r="O7" s="335"/>
      <c r="P7" s="335"/>
      <c r="Q7" s="335"/>
      <c r="R7" s="335"/>
      <c r="S7" s="335"/>
      <c r="T7" s="335"/>
      <c r="U7" s="335"/>
      <c r="V7" s="335"/>
      <c r="W7" s="335"/>
      <c r="X7" s="335"/>
      <c r="Y7" s="335"/>
      <c r="Z7" s="335"/>
    </row>
    <row r="8" spans="1:26" ht="16" thickBot="1">
      <c r="A8" s="335"/>
      <c r="B8" s="335"/>
      <c r="C8" s="140"/>
      <c r="D8" s="141"/>
      <c r="E8" s="141"/>
      <c r="F8" s="141"/>
      <c r="G8" s="141"/>
      <c r="H8" s="141"/>
      <c r="I8" s="141"/>
      <c r="J8" s="142"/>
      <c r="K8" s="335"/>
      <c r="L8" s="464" t="s">
        <v>414</v>
      </c>
      <c r="M8" s="465"/>
      <c r="N8" s="466"/>
      <c r="O8" s="335"/>
      <c r="P8" s="335"/>
      <c r="Q8" s="335"/>
      <c r="R8" s="335"/>
      <c r="S8" s="335"/>
      <c r="T8" s="335"/>
      <c r="U8" s="335"/>
      <c r="V8" s="335"/>
      <c r="W8" s="335"/>
      <c r="X8" s="335"/>
      <c r="Y8" s="335"/>
      <c r="Z8" s="335"/>
    </row>
    <row r="9" spans="1:26" ht="22" customHeight="1" thickBot="1">
      <c r="A9" s="335"/>
      <c r="B9" s="335"/>
      <c r="C9" s="143"/>
      <c r="D9" s="507" t="s">
        <v>380</v>
      </c>
      <c r="E9" s="508"/>
      <c r="F9" s="511">
        <f>'DCF Model'!D76</f>
        <v>724.28576743602366</v>
      </c>
      <c r="G9" s="144"/>
      <c r="H9" s="144"/>
      <c r="I9" s="144"/>
      <c r="J9" s="145"/>
      <c r="K9" s="335"/>
      <c r="L9" s="467"/>
      <c r="M9" s="468"/>
      <c r="N9" s="469"/>
      <c r="O9" s="335"/>
      <c r="P9" s="335"/>
      <c r="Q9" s="335"/>
      <c r="R9" s="335"/>
      <c r="S9" s="335"/>
      <c r="T9" s="335"/>
      <c r="U9" s="335"/>
      <c r="V9" s="335"/>
      <c r="W9" s="335"/>
      <c r="X9" s="335"/>
      <c r="Y9" s="335"/>
      <c r="Z9" s="335"/>
    </row>
    <row r="10" spans="1:26" ht="22" thickBot="1">
      <c r="A10" s="335"/>
      <c r="B10" s="335"/>
      <c r="C10" s="143"/>
      <c r="D10" s="509"/>
      <c r="E10" s="510"/>
      <c r="F10" s="512"/>
      <c r="G10" s="144"/>
      <c r="H10" s="515">
        <f>F9</f>
        <v>724.28576743602366</v>
      </c>
      <c r="I10" s="473" t="s">
        <v>381</v>
      </c>
      <c r="J10" s="145"/>
      <c r="K10" s="335"/>
      <c r="L10" s="467"/>
      <c r="M10" s="468"/>
      <c r="N10" s="469"/>
      <c r="O10" s="335"/>
      <c r="P10" s="335"/>
      <c r="Q10" s="335"/>
      <c r="R10" s="335"/>
      <c r="S10" s="335"/>
      <c r="T10" s="335"/>
      <c r="U10" s="335"/>
      <c r="V10" s="335"/>
      <c r="W10" s="335"/>
      <c r="X10" s="335"/>
      <c r="Y10" s="335"/>
      <c r="Z10" s="335"/>
    </row>
    <row r="11" spans="1:26" ht="21">
      <c r="A11" s="335"/>
      <c r="B11" s="335"/>
      <c r="C11" s="143"/>
      <c r="D11" s="144"/>
      <c r="E11" s="144"/>
      <c r="F11" s="144"/>
      <c r="G11" s="144"/>
      <c r="H11" s="516"/>
      <c r="I11" s="474"/>
      <c r="J11" s="145"/>
      <c r="K11" s="335"/>
      <c r="L11" s="467"/>
      <c r="M11" s="468"/>
      <c r="N11" s="469"/>
      <c r="O11" s="335"/>
      <c r="P11" s="335"/>
      <c r="Q11" s="335"/>
      <c r="R11" s="335"/>
      <c r="S11" s="335"/>
      <c r="T11" s="335"/>
      <c r="U11" s="335"/>
      <c r="V11" s="335"/>
      <c r="W11" s="335"/>
      <c r="X11" s="335"/>
      <c r="Y11" s="335"/>
      <c r="Z11" s="335"/>
    </row>
    <row r="12" spans="1:26" ht="21">
      <c r="A12" s="335"/>
      <c r="B12" s="335"/>
      <c r="C12" s="143"/>
      <c r="D12" s="144"/>
      <c r="E12" s="144"/>
      <c r="F12" s="144"/>
      <c r="G12" s="144"/>
      <c r="H12" s="516"/>
      <c r="I12" s="474"/>
      <c r="J12" s="145"/>
      <c r="K12" s="335"/>
      <c r="L12" s="467"/>
      <c r="M12" s="468"/>
      <c r="N12" s="469"/>
      <c r="O12" s="335"/>
      <c r="P12" s="335"/>
      <c r="Q12" s="335"/>
      <c r="R12" s="335"/>
      <c r="S12" s="335"/>
      <c r="T12" s="335"/>
      <c r="U12" s="335"/>
      <c r="V12" s="335"/>
      <c r="W12" s="335"/>
      <c r="X12" s="335"/>
      <c r="Y12" s="335"/>
      <c r="Z12" s="335"/>
    </row>
    <row r="13" spans="1:26" ht="22" thickBot="1">
      <c r="A13" s="335"/>
      <c r="B13" s="335"/>
      <c r="C13" s="143"/>
      <c r="D13" s="144"/>
      <c r="E13" s="144"/>
      <c r="F13" s="144"/>
      <c r="G13" s="144"/>
      <c r="H13" s="516"/>
      <c r="I13" s="474"/>
      <c r="J13" s="145"/>
      <c r="K13" s="335"/>
      <c r="L13" s="467"/>
      <c r="M13" s="468"/>
      <c r="N13" s="469"/>
      <c r="O13" s="335"/>
      <c r="P13" s="335"/>
      <c r="Q13" s="335"/>
      <c r="R13" s="335"/>
      <c r="S13" s="335"/>
      <c r="T13" s="335"/>
      <c r="U13" s="335"/>
      <c r="V13" s="335"/>
      <c r="W13" s="335"/>
      <c r="X13" s="335"/>
      <c r="Y13" s="335"/>
      <c r="Z13" s="335"/>
    </row>
    <row r="14" spans="1:26" ht="22" thickBot="1">
      <c r="A14" s="335"/>
      <c r="B14" s="335"/>
      <c r="C14" s="143"/>
      <c r="D14" s="503" t="s">
        <v>429</v>
      </c>
      <c r="E14" s="504"/>
      <c r="F14" s="513">
        <f>'Multiples Valuation '!C47</f>
        <v>1190.5385472499038</v>
      </c>
      <c r="G14" s="144"/>
      <c r="H14" s="517"/>
      <c r="I14" s="475"/>
      <c r="J14" s="145"/>
      <c r="K14" s="335"/>
      <c r="L14" s="467"/>
      <c r="M14" s="468"/>
      <c r="N14" s="469"/>
      <c r="O14" s="335"/>
      <c r="P14" s="335"/>
      <c r="Q14" s="335"/>
      <c r="R14" s="335"/>
      <c r="S14" s="335"/>
      <c r="T14" s="335"/>
      <c r="U14" s="335"/>
      <c r="V14" s="335"/>
      <c r="W14" s="335"/>
      <c r="X14" s="335"/>
      <c r="Y14" s="335"/>
      <c r="Z14" s="335"/>
    </row>
    <row r="15" spans="1:26" ht="22" thickBot="1">
      <c r="A15" s="335"/>
      <c r="B15" s="335"/>
      <c r="C15" s="143"/>
      <c r="D15" s="505"/>
      <c r="E15" s="506"/>
      <c r="F15" s="514"/>
      <c r="G15" s="144"/>
      <c r="H15" s="144"/>
      <c r="I15" s="144"/>
      <c r="J15" s="145"/>
      <c r="K15" s="335"/>
      <c r="L15" s="467"/>
      <c r="M15" s="468"/>
      <c r="N15" s="469"/>
      <c r="O15" s="335"/>
      <c r="P15" s="335"/>
      <c r="Q15" s="335"/>
      <c r="R15" s="335"/>
      <c r="S15" s="335"/>
      <c r="T15" s="335"/>
      <c r="U15" s="335"/>
      <c r="V15" s="335"/>
      <c r="W15" s="335"/>
      <c r="X15" s="335"/>
      <c r="Y15" s="335"/>
      <c r="Z15" s="335"/>
    </row>
    <row r="16" spans="1:26" ht="16" thickBot="1">
      <c r="A16" s="335"/>
      <c r="B16" s="335"/>
      <c r="C16" s="146"/>
      <c r="D16" s="147"/>
      <c r="E16" s="147"/>
      <c r="F16" s="147"/>
      <c r="G16" s="147"/>
      <c r="H16" s="147"/>
      <c r="I16" s="147"/>
      <c r="J16" s="148"/>
      <c r="K16" s="335"/>
      <c r="L16" s="470"/>
      <c r="M16" s="471"/>
      <c r="N16" s="472"/>
      <c r="O16" s="335"/>
      <c r="P16" s="335"/>
      <c r="Q16" s="335"/>
      <c r="R16" s="335"/>
      <c r="S16" s="335"/>
      <c r="T16" s="335"/>
      <c r="U16" s="335"/>
      <c r="V16" s="335"/>
      <c r="W16" s="335"/>
      <c r="X16" s="335"/>
      <c r="Y16" s="335"/>
      <c r="Z16" s="335"/>
    </row>
    <row r="17" spans="1:26">
      <c r="A17" s="335"/>
      <c r="B17" s="335"/>
      <c r="C17" s="335"/>
      <c r="D17" s="335"/>
      <c r="E17" s="335"/>
      <c r="F17" s="335"/>
      <c r="G17" s="335"/>
      <c r="H17" s="335"/>
      <c r="I17" s="335"/>
      <c r="J17" s="335"/>
      <c r="K17" s="335"/>
      <c r="L17" s="335"/>
      <c r="M17" s="335"/>
      <c r="N17" s="335"/>
      <c r="O17" s="335"/>
      <c r="P17" s="335"/>
      <c r="Q17" s="335"/>
      <c r="R17" s="335"/>
      <c r="S17" s="335"/>
      <c r="T17" s="335"/>
      <c r="U17" s="335"/>
      <c r="V17" s="335"/>
      <c r="W17" s="335"/>
      <c r="X17" s="335"/>
      <c r="Y17" s="335"/>
      <c r="Z17" s="335"/>
    </row>
    <row r="18" spans="1:26" ht="16" thickBot="1">
      <c r="A18" s="335"/>
      <c r="B18" s="335"/>
      <c r="C18" s="335"/>
      <c r="D18" s="335"/>
      <c r="E18" s="335"/>
      <c r="F18" s="335"/>
      <c r="G18" s="335"/>
      <c r="H18" s="335"/>
      <c r="I18" s="335"/>
      <c r="J18" s="335"/>
      <c r="K18" s="335"/>
      <c r="L18" s="335"/>
      <c r="M18" s="335"/>
      <c r="N18" s="335"/>
      <c r="O18" s="335"/>
      <c r="P18" s="335"/>
      <c r="Q18" s="335"/>
      <c r="R18" s="335"/>
      <c r="S18" s="335"/>
      <c r="T18" s="335"/>
      <c r="U18" s="335"/>
      <c r="V18" s="335"/>
      <c r="W18" s="335"/>
      <c r="X18" s="335"/>
      <c r="Y18" s="335"/>
      <c r="Z18" s="335"/>
    </row>
    <row r="19" spans="1:26">
      <c r="A19" s="335"/>
      <c r="B19" s="335"/>
      <c r="C19" s="485" t="s">
        <v>404</v>
      </c>
      <c r="D19" s="486"/>
      <c r="E19" s="486"/>
      <c r="F19" s="486"/>
      <c r="G19" s="486"/>
      <c r="H19" s="486"/>
      <c r="I19" s="486"/>
      <c r="J19" s="487"/>
      <c r="K19" s="335"/>
      <c r="L19" s="335"/>
      <c r="M19" s="335"/>
      <c r="N19" s="335"/>
      <c r="O19" s="335"/>
      <c r="P19" s="335"/>
      <c r="Q19" s="335"/>
      <c r="R19" s="335"/>
      <c r="S19" s="335"/>
      <c r="T19" s="335"/>
      <c r="U19" s="335"/>
      <c r="V19" s="335"/>
      <c r="W19" s="335"/>
      <c r="X19" s="335"/>
      <c r="Y19" s="335"/>
      <c r="Z19" s="335"/>
    </row>
    <row r="20" spans="1:26">
      <c r="A20" s="335"/>
      <c r="B20" s="335"/>
      <c r="C20" s="488"/>
      <c r="D20" s="489"/>
      <c r="E20" s="489"/>
      <c r="F20" s="489"/>
      <c r="G20" s="489"/>
      <c r="H20" s="489"/>
      <c r="I20" s="489"/>
      <c r="J20" s="490"/>
      <c r="K20" s="335"/>
      <c r="L20" s="335"/>
      <c r="M20" s="335"/>
      <c r="N20" s="335"/>
      <c r="O20" s="335"/>
      <c r="P20" s="335"/>
      <c r="Q20" s="335"/>
      <c r="R20" s="335"/>
      <c r="S20" s="335"/>
      <c r="T20" s="335"/>
      <c r="U20" s="335"/>
      <c r="V20" s="335"/>
      <c r="W20" s="335"/>
      <c r="X20" s="335"/>
      <c r="Y20" s="335"/>
      <c r="Z20" s="335"/>
    </row>
    <row r="21" spans="1:26" ht="16" thickBot="1">
      <c r="A21" s="335"/>
      <c r="B21" s="335"/>
      <c r="C21" s="491"/>
      <c r="D21" s="492"/>
      <c r="E21" s="492"/>
      <c r="F21" s="492"/>
      <c r="G21" s="492"/>
      <c r="H21" s="492"/>
      <c r="I21" s="492"/>
      <c r="J21" s="493"/>
      <c r="K21" s="335"/>
      <c r="L21" s="335"/>
      <c r="M21" s="335"/>
      <c r="N21" s="335"/>
      <c r="O21" s="335"/>
      <c r="P21" s="335"/>
      <c r="Q21" s="335"/>
      <c r="R21" s="335"/>
      <c r="S21" s="335"/>
      <c r="T21" s="335"/>
      <c r="U21" s="335"/>
      <c r="V21" s="335"/>
      <c r="W21" s="335"/>
      <c r="X21" s="335"/>
      <c r="Y21" s="335"/>
      <c r="Z21" s="335"/>
    </row>
    <row r="22" spans="1:26" ht="16" thickBot="1">
      <c r="A22" s="335"/>
      <c r="B22" s="335"/>
      <c r="C22" s="335"/>
      <c r="D22" s="335"/>
      <c r="E22" s="335"/>
      <c r="F22" s="335"/>
      <c r="G22" s="335"/>
      <c r="H22" s="335"/>
      <c r="I22" s="335"/>
      <c r="J22" s="335"/>
      <c r="K22" s="335"/>
      <c r="L22" s="335"/>
      <c r="M22" s="335"/>
      <c r="N22" s="335"/>
      <c r="O22" s="335"/>
      <c r="P22" s="335"/>
      <c r="Q22" s="335"/>
      <c r="R22" s="335"/>
      <c r="S22" s="335"/>
      <c r="T22" s="335"/>
      <c r="U22" s="335"/>
      <c r="V22" s="335"/>
      <c r="W22" s="335"/>
      <c r="X22" s="335"/>
      <c r="Y22" s="335"/>
      <c r="Z22" s="335"/>
    </row>
    <row r="23" spans="1:26">
      <c r="A23" s="335"/>
      <c r="B23" s="335"/>
      <c r="C23" s="494" t="s">
        <v>406</v>
      </c>
      <c r="D23" s="495"/>
      <c r="E23" s="495"/>
      <c r="F23" s="495"/>
      <c r="G23" s="495"/>
      <c r="H23" s="495"/>
      <c r="I23" s="495"/>
      <c r="J23" s="496"/>
      <c r="K23" s="335"/>
      <c r="L23" s="335"/>
      <c r="M23" s="335"/>
      <c r="N23" s="335"/>
      <c r="O23" s="335"/>
      <c r="P23" s="335"/>
      <c r="Q23" s="335"/>
      <c r="R23" s="335"/>
      <c r="S23" s="335"/>
      <c r="T23" s="335"/>
      <c r="U23" s="335"/>
      <c r="V23" s="335"/>
      <c r="W23" s="335"/>
      <c r="X23" s="335"/>
      <c r="Y23" s="335"/>
      <c r="Z23" s="335"/>
    </row>
    <row r="24" spans="1:26">
      <c r="A24" s="335"/>
      <c r="B24" s="335"/>
      <c r="C24" s="497"/>
      <c r="D24" s="498"/>
      <c r="E24" s="498"/>
      <c r="F24" s="498"/>
      <c r="G24" s="498"/>
      <c r="H24" s="498"/>
      <c r="I24" s="498"/>
      <c r="J24" s="499"/>
      <c r="K24" s="335"/>
      <c r="L24" s="335"/>
      <c r="M24" s="335"/>
      <c r="N24" s="335"/>
      <c r="O24" s="335"/>
      <c r="P24" s="335"/>
      <c r="Q24" s="335"/>
      <c r="R24" s="335"/>
      <c r="S24" s="335"/>
      <c r="T24" s="335"/>
      <c r="U24" s="335"/>
      <c r="V24" s="335"/>
      <c r="W24" s="335"/>
      <c r="X24" s="335"/>
      <c r="Y24" s="335"/>
      <c r="Z24" s="335"/>
    </row>
    <row r="25" spans="1:26" ht="16" thickBot="1">
      <c r="A25" s="335"/>
      <c r="B25" s="335"/>
      <c r="C25" s="500"/>
      <c r="D25" s="501"/>
      <c r="E25" s="501"/>
      <c r="F25" s="501"/>
      <c r="G25" s="501"/>
      <c r="H25" s="501"/>
      <c r="I25" s="501"/>
      <c r="J25" s="502"/>
      <c r="K25" s="335"/>
      <c r="L25" s="335"/>
      <c r="M25" s="335"/>
      <c r="N25" s="335"/>
      <c r="O25" s="335"/>
      <c r="P25" s="335"/>
      <c r="Q25" s="335"/>
      <c r="R25" s="335"/>
      <c r="S25" s="335"/>
      <c r="T25" s="335"/>
      <c r="U25" s="335"/>
      <c r="V25" s="335"/>
      <c r="W25" s="335"/>
      <c r="X25" s="335"/>
      <c r="Y25" s="335"/>
      <c r="Z25" s="335"/>
    </row>
    <row r="26" spans="1:26">
      <c r="A26" s="335"/>
      <c r="B26" s="335"/>
      <c r="C26" s="335"/>
      <c r="D26" s="335"/>
      <c r="E26" s="335"/>
      <c r="F26" s="335"/>
      <c r="G26" s="335"/>
      <c r="H26" s="335"/>
      <c r="I26" s="335"/>
      <c r="J26" s="335"/>
      <c r="K26" s="335"/>
      <c r="L26" s="335"/>
      <c r="M26" s="335"/>
      <c r="N26" s="335"/>
      <c r="O26" s="335"/>
      <c r="P26" s="335"/>
      <c r="Q26" s="335"/>
      <c r="R26" s="335"/>
      <c r="S26" s="335"/>
      <c r="T26" s="335"/>
      <c r="U26" s="335"/>
      <c r="V26" s="335"/>
      <c r="W26" s="335"/>
      <c r="X26" s="335"/>
      <c r="Y26" s="335"/>
      <c r="Z26" s="335"/>
    </row>
    <row r="27" spans="1:26">
      <c r="A27" s="335"/>
      <c r="B27" s="335"/>
      <c r="C27" s="335"/>
      <c r="D27" s="335"/>
      <c r="E27" s="335"/>
      <c r="F27" s="335"/>
      <c r="G27" s="335"/>
      <c r="H27" s="335"/>
      <c r="I27" s="335"/>
      <c r="J27" s="335"/>
      <c r="K27" s="335"/>
      <c r="L27" s="335"/>
      <c r="M27" s="335"/>
      <c r="N27" s="335"/>
      <c r="O27" s="335"/>
      <c r="P27" s="335"/>
      <c r="Q27" s="335"/>
      <c r="R27" s="335"/>
      <c r="S27" s="335"/>
      <c r="T27" s="335"/>
      <c r="U27" s="335"/>
      <c r="V27" s="335"/>
      <c r="W27" s="335"/>
      <c r="X27" s="335"/>
      <c r="Y27" s="335"/>
      <c r="Z27" s="335"/>
    </row>
    <row r="28" spans="1:26">
      <c r="A28" s="335"/>
      <c r="B28" s="335"/>
      <c r="C28" s="335"/>
      <c r="D28" s="335"/>
      <c r="E28" s="335"/>
      <c r="F28" s="335"/>
      <c r="G28" s="335"/>
      <c r="H28" s="335"/>
      <c r="I28" s="335"/>
      <c r="J28" s="335"/>
      <c r="K28" s="335"/>
      <c r="L28" s="335"/>
      <c r="M28" s="335"/>
      <c r="N28" s="335"/>
      <c r="O28" s="335"/>
      <c r="P28" s="335"/>
      <c r="Q28" s="335"/>
      <c r="R28" s="335"/>
      <c r="S28" s="335"/>
      <c r="T28" s="335"/>
      <c r="U28" s="335"/>
      <c r="V28" s="335"/>
      <c r="W28" s="335"/>
      <c r="X28" s="335"/>
      <c r="Y28" s="335"/>
      <c r="Z28" s="335"/>
    </row>
    <row r="29" spans="1:26">
      <c r="A29" s="335"/>
      <c r="B29" s="335"/>
      <c r="C29" s="335"/>
      <c r="D29" s="335"/>
      <c r="E29" s="335"/>
      <c r="F29" s="335"/>
      <c r="G29" s="335"/>
      <c r="H29" s="335"/>
      <c r="I29" s="335"/>
      <c r="J29" s="335"/>
      <c r="K29" s="335"/>
      <c r="L29" s="335"/>
      <c r="M29" s="335"/>
      <c r="N29" s="335"/>
      <c r="O29" s="335"/>
      <c r="P29" s="335"/>
      <c r="Q29" s="335"/>
      <c r="R29" s="335"/>
      <c r="S29" s="335"/>
      <c r="T29" s="335"/>
      <c r="U29" s="335"/>
      <c r="V29" s="335"/>
      <c r="W29" s="335"/>
      <c r="X29" s="335"/>
      <c r="Y29" s="335"/>
      <c r="Z29" s="335"/>
    </row>
    <row r="30" spans="1:26">
      <c r="A30" s="335"/>
      <c r="B30" s="335"/>
      <c r="C30" s="335"/>
      <c r="D30" s="335"/>
      <c r="E30" s="335"/>
      <c r="F30" s="335"/>
      <c r="G30" s="335"/>
      <c r="H30" s="335"/>
      <c r="I30" s="335"/>
      <c r="J30" s="335"/>
      <c r="K30" s="335"/>
      <c r="L30" s="335"/>
      <c r="M30" s="335"/>
      <c r="N30" s="335"/>
      <c r="O30" s="335"/>
      <c r="P30" s="335"/>
      <c r="Q30" s="335"/>
      <c r="R30" s="335"/>
      <c r="S30" s="335"/>
      <c r="T30" s="335"/>
      <c r="U30" s="335"/>
      <c r="V30" s="335"/>
      <c r="W30" s="335"/>
      <c r="X30" s="335"/>
      <c r="Y30" s="335"/>
      <c r="Z30" s="335"/>
    </row>
    <row r="31" spans="1:26">
      <c r="A31" s="335"/>
      <c r="B31" s="335"/>
      <c r="C31" s="335"/>
      <c r="D31" s="335"/>
      <c r="E31" s="335"/>
      <c r="F31" s="335"/>
      <c r="G31" s="335"/>
      <c r="H31" s="335"/>
      <c r="I31" s="335"/>
      <c r="J31" s="335"/>
      <c r="K31" s="335"/>
      <c r="L31" s="335"/>
      <c r="M31" s="335"/>
      <c r="N31" s="335"/>
      <c r="O31" s="335"/>
      <c r="P31" s="335"/>
      <c r="Q31" s="335"/>
      <c r="R31" s="335"/>
      <c r="S31" s="335"/>
      <c r="T31" s="335"/>
      <c r="U31" s="335"/>
      <c r="V31" s="335"/>
      <c r="W31" s="335"/>
      <c r="X31" s="335"/>
      <c r="Y31" s="335"/>
      <c r="Z31" s="335"/>
    </row>
    <row r="32" spans="1:26">
      <c r="A32" s="335"/>
      <c r="B32" s="335"/>
      <c r="C32" s="335"/>
      <c r="D32" s="335"/>
      <c r="E32" s="335"/>
      <c r="F32" s="335"/>
      <c r="G32" s="335"/>
      <c r="H32" s="335"/>
      <c r="I32" s="335"/>
      <c r="J32" s="335"/>
      <c r="K32" s="335"/>
      <c r="L32" s="335"/>
      <c r="M32" s="335"/>
      <c r="N32" s="335"/>
      <c r="O32" s="335"/>
      <c r="P32" s="335"/>
      <c r="Q32" s="335"/>
      <c r="R32" s="335"/>
      <c r="S32" s="335"/>
      <c r="T32" s="335"/>
      <c r="U32" s="335"/>
      <c r="V32" s="335"/>
      <c r="W32" s="335"/>
      <c r="X32" s="335"/>
      <c r="Y32" s="335"/>
      <c r="Z32" s="335"/>
    </row>
    <row r="33" spans="1:26">
      <c r="A33" s="335"/>
      <c r="B33" s="335"/>
      <c r="C33" s="335"/>
      <c r="D33" s="335"/>
      <c r="E33" s="335"/>
      <c r="F33" s="335"/>
      <c r="G33" s="335"/>
      <c r="H33" s="335"/>
      <c r="I33" s="335"/>
      <c r="J33" s="335"/>
      <c r="K33" s="335"/>
      <c r="L33" s="335"/>
      <c r="M33" s="335"/>
      <c r="N33" s="335"/>
      <c r="O33" s="335"/>
      <c r="P33" s="335"/>
      <c r="Q33" s="335"/>
      <c r="R33" s="335"/>
      <c r="S33" s="335"/>
      <c r="T33" s="335"/>
      <c r="U33" s="335"/>
      <c r="V33" s="335"/>
      <c r="W33" s="335"/>
      <c r="X33" s="335"/>
      <c r="Y33" s="335"/>
      <c r="Z33" s="335"/>
    </row>
    <row r="34" spans="1:26">
      <c r="A34" s="335"/>
      <c r="B34" s="335"/>
      <c r="C34" s="335"/>
      <c r="D34" s="335"/>
      <c r="E34" s="335"/>
      <c r="F34" s="335"/>
      <c r="G34" s="335"/>
      <c r="H34" s="335"/>
      <c r="I34" s="335"/>
      <c r="J34" s="335"/>
      <c r="K34" s="335"/>
      <c r="L34" s="335"/>
      <c r="M34" s="335"/>
      <c r="N34" s="335"/>
      <c r="O34" s="335"/>
      <c r="P34" s="335"/>
      <c r="Q34" s="335"/>
      <c r="R34" s="335"/>
      <c r="S34" s="335"/>
      <c r="T34" s="335"/>
      <c r="U34" s="335"/>
      <c r="V34" s="335"/>
      <c r="W34" s="335"/>
      <c r="X34" s="335"/>
      <c r="Y34" s="335"/>
      <c r="Z34" s="335"/>
    </row>
    <row r="35" spans="1:26">
      <c r="A35" s="335"/>
      <c r="B35" s="335"/>
      <c r="C35" s="335"/>
      <c r="D35" s="335"/>
      <c r="E35" s="335"/>
      <c r="F35" s="335"/>
      <c r="G35" s="335"/>
      <c r="H35" s="335"/>
      <c r="I35" s="335"/>
      <c r="J35" s="335"/>
      <c r="K35" s="335"/>
      <c r="L35" s="335"/>
      <c r="M35" s="335"/>
      <c r="N35" s="335"/>
      <c r="O35" s="335"/>
      <c r="P35" s="335"/>
      <c r="Q35" s="335"/>
      <c r="R35" s="335"/>
      <c r="S35" s="335"/>
      <c r="T35" s="335"/>
      <c r="U35" s="335"/>
      <c r="V35" s="335"/>
      <c r="W35" s="335"/>
      <c r="X35" s="335"/>
      <c r="Y35" s="335"/>
      <c r="Z35" s="335"/>
    </row>
    <row r="36" spans="1:26">
      <c r="A36" s="335"/>
      <c r="B36" s="335"/>
      <c r="C36" s="335"/>
      <c r="D36" s="335"/>
      <c r="E36" s="335"/>
      <c r="F36" s="335"/>
      <c r="G36" s="335"/>
      <c r="H36" s="335"/>
      <c r="I36" s="335"/>
      <c r="J36" s="335"/>
      <c r="K36" s="335"/>
      <c r="L36" s="335"/>
      <c r="M36" s="335"/>
      <c r="N36" s="335"/>
      <c r="O36" s="335"/>
      <c r="P36" s="335"/>
      <c r="Q36" s="335"/>
      <c r="R36" s="335"/>
      <c r="S36" s="335"/>
      <c r="T36" s="335"/>
      <c r="U36" s="335"/>
      <c r="V36" s="335"/>
      <c r="W36" s="335"/>
      <c r="X36" s="335"/>
      <c r="Y36" s="335"/>
      <c r="Z36" s="335"/>
    </row>
    <row r="37" spans="1:26">
      <c r="A37" s="335"/>
      <c r="B37" s="335"/>
      <c r="C37" s="335"/>
      <c r="D37" s="335"/>
      <c r="E37" s="335"/>
      <c r="F37" s="335"/>
      <c r="G37" s="335"/>
      <c r="H37" s="335"/>
      <c r="I37" s="335"/>
      <c r="J37" s="335"/>
      <c r="K37" s="335"/>
      <c r="L37" s="335"/>
      <c r="M37" s="335"/>
      <c r="N37" s="335"/>
      <c r="O37" s="335"/>
      <c r="P37" s="335"/>
      <c r="Q37" s="335"/>
      <c r="R37" s="335"/>
      <c r="S37" s="335"/>
      <c r="T37" s="335"/>
      <c r="U37" s="335"/>
      <c r="V37" s="335"/>
      <c r="W37" s="335"/>
      <c r="X37" s="335"/>
      <c r="Y37" s="335"/>
      <c r="Z37" s="335"/>
    </row>
    <row r="38" spans="1:26">
      <c r="A38" s="335"/>
      <c r="B38" s="335"/>
      <c r="C38" s="335"/>
      <c r="D38" s="335"/>
      <c r="E38" s="335"/>
      <c r="F38" s="335"/>
      <c r="G38" s="335"/>
      <c r="H38" s="335"/>
      <c r="I38" s="335"/>
      <c r="J38" s="335"/>
      <c r="K38" s="335"/>
      <c r="L38" s="335"/>
      <c r="M38" s="335"/>
      <c r="N38" s="335"/>
      <c r="O38" s="335"/>
      <c r="P38" s="335"/>
      <c r="Q38" s="335"/>
      <c r="R38" s="335"/>
      <c r="S38" s="335"/>
      <c r="T38" s="335"/>
      <c r="U38" s="335"/>
      <c r="V38" s="335"/>
      <c r="W38" s="335"/>
      <c r="X38" s="335"/>
      <c r="Y38" s="335"/>
      <c r="Z38" s="335"/>
    </row>
    <row r="39" spans="1:26">
      <c r="A39" s="335"/>
      <c r="B39" s="335"/>
      <c r="C39" s="335"/>
      <c r="D39" s="335"/>
      <c r="E39" s="335"/>
      <c r="F39" s="335"/>
      <c r="G39" s="335"/>
      <c r="H39" s="335"/>
      <c r="I39" s="335"/>
      <c r="J39" s="335"/>
      <c r="K39" s="335"/>
      <c r="L39" s="335"/>
      <c r="M39" s="335"/>
      <c r="N39" s="335"/>
      <c r="O39" s="335"/>
      <c r="P39" s="335"/>
      <c r="Q39" s="335"/>
      <c r="R39" s="335"/>
      <c r="S39" s="335"/>
      <c r="T39" s="335"/>
      <c r="U39" s="335"/>
      <c r="V39" s="335"/>
      <c r="W39" s="335"/>
      <c r="X39" s="335"/>
      <c r="Y39" s="335"/>
      <c r="Z39" s="335"/>
    </row>
  </sheetData>
  <mergeCells count="10">
    <mergeCell ref="L8:N16"/>
    <mergeCell ref="I10:I14"/>
    <mergeCell ref="C3:J5"/>
    <mergeCell ref="C19:J21"/>
    <mergeCell ref="C23:J25"/>
    <mergeCell ref="D14:E15"/>
    <mergeCell ref="D9:E10"/>
    <mergeCell ref="F9:F10"/>
    <mergeCell ref="F14:F15"/>
    <mergeCell ref="H10: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D4F5-5068-A345-BB70-73A2351ED7DE}">
  <sheetPr>
    <tabColor theme="4"/>
  </sheetPr>
  <dimension ref="B2:Q93"/>
  <sheetViews>
    <sheetView zoomScale="75" workbookViewId="0">
      <selection activeCell="N96" sqref="N96"/>
    </sheetView>
  </sheetViews>
  <sheetFormatPr baseColWidth="10" defaultColWidth="11.5" defaultRowHeight="15"/>
  <cols>
    <col min="3" max="3" width="38.5" bestFit="1" customWidth="1"/>
    <col min="4" max="4" width="14.33203125" customWidth="1"/>
    <col min="5" max="5" width="12.83203125" customWidth="1"/>
    <col min="6" max="6" width="12.5" customWidth="1"/>
    <col min="7" max="7" width="12" customWidth="1"/>
    <col min="8" max="8" width="13.6640625" customWidth="1"/>
    <col min="11" max="11" width="11.83203125" customWidth="1"/>
    <col min="12" max="12" width="13" customWidth="1"/>
    <col min="13" max="13" width="14" customWidth="1"/>
    <col min="14" max="14" width="14.6640625" customWidth="1"/>
    <col min="17" max="17" width="20.83203125" bestFit="1" customWidth="1"/>
  </cols>
  <sheetData>
    <row r="2" spans="2:17" ht="16" thickBot="1"/>
    <row r="3" spans="2:17">
      <c r="C3" s="149" t="s">
        <v>232</v>
      </c>
      <c r="D3" s="524" t="s">
        <v>233</v>
      </c>
      <c r="E3" s="524"/>
      <c r="F3" s="524"/>
      <c r="G3" s="524"/>
      <c r="H3" s="524"/>
      <c r="I3" s="524"/>
      <c r="J3" s="524"/>
      <c r="K3" s="524"/>
      <c r="L3" s="524"/>
      <c r="M3" s="525"/>
      <c r="O3" s="163" t="s">
        <v>234</v>
      </c>
      <c r="Q3" s="163" t="s">
        <v>395</v>
      </c>
    </row>
    <row r="4" spans="2:17" ht="16" thickBot="1">
      <c r="C4" s="150" t="s">
        <v>235</v>
      </c>
      <c r="D4" s="200" t="s">
        <v>105</v>
      </c>
      <c r="E4" s="200" t="s">
        <v>106</v>
      </c>
      <c r="F4" s="200" t="s">
        <v>107</v>
      </c>
      <c r="G4" s="200" t="s">
        <v>108</v>
      </c>
      <c r="H4" s="200" t="s">
        <v>109</v>
      </c>
      <c r="I4" s="201" t="s">
        <v>374</v>
      </c>
      <c r="J4" s="201" t="s">
        <v>375</v>
      </c>
      <c r="K4" s="201" t="s">
        <v>376</v>
      </c>
      <c r="L4" s="201" t="s">
        <v>377</v>
      </c>
      <c r="M4" s="202" t="s">
        <v>378</v>
      </c>
      <c r="N4" s="81"/>
      <c r="O4" s="164">
        <v>0.25800000000000001</v>
      </c>
      <c r="Q4" s="321"/>
    </row>
    <row r="5" spans="2:17" ht="16" thickBot="1">
      <c r="B5" s="66"/>
      <c r="C5" s="151" t="s">
        <v>3</v>
      </c>
      <c r="D5" s="152">
        <f>('ASML Revenue Model'!G7)*(1+$Q$4)</f>
        <v>40676.557310632765</v>
      </c>
      <c r="E5" s="152">
        <f>('ASML Revenue Model'!H7)*(1+$Q$4)</f>
        <v>47267.582696168203</v>
      </c>
      <c r="F5" s="152">
        <f>('ASML Revenue Model'!I7)*(1+$Q$4)</f>
        <v>53461.654201933277</v>
      </c>
      <c r="G5" s="152">
        <f>('ASML Revenue Model'!J7)*(1+$Q$4)</f>
        <v>59100.617206791845</v>
      </c>
      <c r="H5" s="152">
        <f>('ASML Revenue Model'!K7)*(1+$Q$4)</f>
        <v>65320.659490075144</v>
      </c>
      <c r="I5" s="152">
        <f>('ASML Revenue Model'!L7)*(1+$Q$4)</f>
        <v>70804.676929319598</v>
      </c>
      <c r="J5" s="152">
        <f>('ASML Revenue Model'!M7)*(1+$Q$4)</f>
        <v>75637.40101938197</v>
      </c>
      <c r="K5" s="152">
        <f>('ASML Revenue Model'!N7)*(1+$Q$4)</f>
        <v>80264.154658832602</v>
      </c>
      <c r="L5" s="152">
        <f>('ASML Revenue Model'!O7)*(1+$Q$4)</f>
        <v>84764.839203526848</v>
      </c>
      <c r="M5" s="153">
        <f>('ASML Revenue Model'!P7)*(1+$Q$4)</f>
        <v>89086.048379734639</v>
      </c>
      <c r="N5" s="91"/>
      <c r="O5" s="110"/>
    </row>
    <row r="6" spans="2:17">
      <c r="B6" s="66" t="s">
        <v>236</v>
      </c>
      <c r="C6" s="151" t="s">
        <v>237</v>
      </c>
      <c r="D6" s="152">
        <f>('Cost Analysis'!G12+'Cost Analysis'!G16+'Cost Analysis'!G20)*(1+$Q$7)</f>
        <v>25554.213107378506</v>
      </c>
      <c r="E6" s="152">
        <f>('Cost Analysis'!H12+'Cost Analysis'!H16+'Cost Analysis'!H20)*(1+$Q$7)</f>
        <v>29553.086916843389</v>
      </c>
      <c r="F6" s="152">
        <f>('Cost Analysis'!I12+'Cost Analysis'!I16+'Cost Analysis'!I20)*(1+$Q$7)</f>
        <v>33265.418161361456</v>
      </c>
      <c r="G6" s="152">
        <f>('Cost Analysis'!J12+'Cost Analysis'!J16+'Cost Analysis'!J20)*(1+$Q$7)</f>
        <v>36596.845419479032</v>
      </c>
      <c r="H6" s="152">
        <f>('Cost Analysis'!K12+'Cost Analysis'!K16+'Cost Analysis'!K20)*(1+$Q$7)</f>
        <v>40252.517090577232</v>
      </c>
      <c r="I6" s="152">
        <f>('Cost Analysis'!L12+'Cost Analysis'!L16+'Cost Analysis'!L20)*(1+$Q$7)</f>
        <v>43419.516363657574</v>
      </c>
      <c r="J6" s="152">
        <f>('Cost Analysis'!M12+'Cost Analysis'!M16+'Cost Analysis'!M20)*(1+$Q$7)</f>
        <v>46156.173119737134</v>
      </c>
      <c r="K6" s="152">
        <f>('Cost Analysis'!N12+'Cost Analysis'!N16+'Cost Analysis'!N20)*(1+$Q$7)</f>
        <v>48738.762198314354</v>
      </c>
      <c r="L6" s="152">
        <f>('Cost Analysis'!O12+'Cost Analysis'!O16+'Cost Analysis'!O20)*(1+$Q$7)</f>
        <v>51217.416089440834</v>
      </c>
      <c r="M6" s="153">
        <f>('Cost Analysis'!P12+'Cost Analysis'!P16+'Cost Analysis'!P20)*(1+$Q$7)</f>
        <v>53561.159987919455</v>
      </c>
      <c r="N6" s="91"/>
      <c r="O6" s="163" t="s">
        <v>189</v>
      </c>
      <c r="Q6" s="163" t="s">
        <v>397</v>
      </c>
    </row>
    <row r="7" spans="2:17" ht="16" thickBot="1">
      <c r="B7" s="66" t="s">
        <v>238</v>
      </c>
      <c r="C7" s="151" t="s">
        <v>239</v>
      </c>
      <c r="D7" s="152">
        <f>D5-D6</f>
        <v>15122.344203254259</v>
      </c>
      <c r="E7" s="152">
        <f t="shared" ref="E7:M7" si="0">E5-E6</f>
        <v>17714.495779324814</v>
      </c>
      <c r="F7" s="152">
        <f t="shared" si="0"/>
        <v>20196.236040571821</v>
      </c>
      <c r="G7" s="152">
        <f t="shared" si="0"/>
        <v>22503.771787312813</v>
      </c>
      <c r="H7" s="152">
        <f t="shared" si="0"/>
        <v>25068.142399497912</v>
      </c>
      <c r="I7" s="152">
        <f t="shared" si="0"/>
        <v>27385.160565662023</v>
      </c>
      <c r="J7" s="152">
        <f t="shared" si="0"/>
        <v>29481.227899644837</v>
      </c>
      <c r="K7" s="152">
        <f t="shared" si="0"/>
        <v>31525.392460518247</v>
      </c>
      <c r="L7" s="152">
        <f t="shared" si="0"/>
        <v>33547.423114086014</v>
      </c>
      <c r="M7" s="153">
        <f t="shared" si="0"/>
        <v>35524.888391815184</v>
      </c>
      <c r="N7" s="91"/>
      <c r="O7" s="165">
        <f>WACC!E36*(1+$O$10)</f>
        <v>8.5549211698704067E-2</v>
      </c>
      <c r="Q7" s="319"/>
    </row>
    <row r="8" spans="2:17" ht="16" thickBot="1">
      <c r="B8" s="66" t="s">
        <v>236</v>
      </c>
      <c r="C8" s="151" t="s">
        <v>240</v>
      </c>
      <c r="D8" s="152">
        <f t="shared" ref="D8:M8" si="1">D7*$O$4</f>
        <v>3901.5648044395989</v>
      </c>
      <c r="E8" s="152">
        <f t="shared" si="1"/>
        <v>4570.339911065802</v>
      </c>
      <c r="F8" s="152">
        <f t="shared" si="1"/>
        <v>5210.6288984675302</v>
      </c>
      <c r="G8" s="152">
        <f t="shared" si="1"/>
        <v>5805.9731211267062</v>
      </c>
      <c r="H8" s="152">
        <f t="shared" si="1"/>
        <v>6467.5807390704613</v>
      </c>
      <c r="I8" s="152">
        <f t="shared" si="1"/>
        <v>7065.3714259408025</v>
      </c>
      <c r="J8" s="152">
        <f t="shared" si="1"/>
        <v>7606.1567981083681</v>
      </c>
      <c r="K8" s="152">
        <f t="shared" si="1"/>
        <v>8133.5512548137076</v>
      </c>
      <c r="L8" s="152">
        <f t="shared" si="1"/>
        <v>8655.2351634341921</v>
      </c>
      <c r="M8" s="153">
        <f t="shared" si="1"/>
        <v>9165.4212050883179</v>
      </c>
      <c r="N8" s="91"/>
    </row>
    <row r="9" spans="2:17" ht="16">
      <c r="B9" s="67" t="s">
        <v>238</v>
      </c>
      <c r="C9" s="154" t="s">
        <v>241</v>
      </c>
      <c r="D9" s="152">
        <f>D7-D8</f>
        <v>11220.77939881466</v>
      </c>
      <c r="E9" s="152">
        <f t="shared" ref="E9:M9" si="2">E7-E8</f>
        <v>13144.155868259011</v>
      </c>
      <c r="F9" s="152">
        <f t="shared" si="2"/>
        <v>14985.607142104291</v>
      </c>
      <c r="G9" s="152">
        <f t="shared" si="2"/>
        <v>16697.798666186107</v>
      </c>
      <c r="H9" s="152">
        <f t="shared" si="2"/>
        <v>18600.561660427451</v>
      </c>
      <c r="I9" s="152">
        <f t="shared" si="2"/>
        <v>20319.789139721222</v>
      </c>
      <c r="J9" s="152">
        <f t="shared" si="2"/>
        <v>21875.071101536469</v>
      </c>
      <c r="K9" s="152">
        <f t="shared" si="2"/>
        <v>23391.841205704539</v>
      </c>
      <c r="L9" s="152">
        <f t="shared" si="2"/>
        <v>24892.187950651823</v>
      </c>
      <c r="M9" s="153">
        <f t="shared" si="2"/>
        <v>26359.467186726866</v>
      </c>
      <c r="N9" s="91"/>
      <c r="O9" s="193" t="s">
        <v>390</v>
      </c>
    </row>
    <row r="10" spans="2:17" ht="16" thickBot="1">
      <c r="B10" s="66" t="s">
        <v>242</v>
      </c>
      <c r="C10" s="151" t="s">
        <v>182</v>
      </c>
      <c r="D10" s="152">
        <f>'Cost Analysis'!G32</f>
        <v>1140.5817590232316</v>
      </c>
      <c r="E10" s="152">
        <f>'Cost Analysis'!H32</f>
        <v>1325.3959081310691</v>
      </c>
      <c r="F10" s="152">
        <f>'Cost Analysis'!I32</f>
        <v>1499.0793622053516</v>
      </c>
      <c r="G10" s="152">
        <f>'Cost Analysis'!J32</f>
        <v>1657.1974225424608</v>
      </c>
      <c r="H10" s="152">
        <f>'Cost Analysis'!K32</f>
        <v>1831.6091043002891</v>
      </c>
      <c r="I10" s="152">
        <f>'Cost Analysis'!L32</f>
        <v>1985.3824487256904</v>
      </c>
      <c r="J10" s="152">
        <f>'Cost Analysis'!M32</f>
        <v>2120.8933500397611</v>
      </c>
      <c r="K10" s="152">
        <f>'Cost Analysis'!N32</f>
        <v>2250.6287837528862</v>
      </c>
      <c r="L10" s="152">
        <f>'Cost Analysis'!O32</f>
        <v>2376.8292056714386</v>
      </c>
      <c r="M10" s="153">
        <f>'Cost Analysis'!P32</f>
        <v>2497.9970893167456</v>
      </c>
      <c r="N10" s="91"/>
      <c r="O10" s="316"/>
    </row>
    <row r="11" spans="2:17">
      <c r="B11" s="66" t="s">
        <v>236</v>
      </c>
      <c r="C11" s="151" t="s">
        <v>9</v>
      </c>
      <c r="D11" s="152">
        <f>'Pro Forma Financial Statement'!C34</f>
        <v>2644.6840010969445</v>
      </c>
      <c r="E11" s="152">
        <f>'Pro Forma Financial Statement'!D34</f>
        <v>3073.2153356155841</v>
      </c>
      <c r="F11" s="152">
        <f>'Pro Forma Financial Statement'!E34</f>
        <v>3475.9377609144749</v>
      </c>
      <c r="G11" s="152">
        <f>'Pro Forma Financial Statement'!F34</f>
        <v>3842.5684747145515</v>
      </c>
      <c r="H11" s="152">
        <f>'Pro Forma Financial Statement'!G34</f>
        <v>4246.9794524460876</v>
      </c>
      <c r="I11" s="152">
        <f>'Pro Forma Financial Statement'!H34</f>
        <v>4603.5360084138965</v>
      </c>
      <c r="J11" s="152">
        <f>'Pro Forma Financial Statement'!I34</f>
        <v>4917.7471641196134</v>
      </c>
      <c r="K11" s="152">
        <f>'Pro Forma Financial Statement'!J34</f>
        <v>5218.5666566304408</v>
      </c>
      <c r="L11" s="152">
        <f>'Pro Forma Financial Statement'!K34</f>
        <v>5511.1894643680507</v>
      </c>
      <c r="M11" s="153">
        <f>'Pro Forma Financial Statement'!L34</f>
        <v>5792.1432502658254</v>
      </c>
      <c r="N11" s="91"/>
    </row>
    <row r="12" spans="2:17">
      <c r="B12" s="66" t="s">
        <v>236</v>
      </c>
      <c r="C12" s="151" t="s">
        <v>184</v>
      </c>
      <c r="D12" s="152">
        <f>'Pro Forma Financial Statement'!C29</f>
        <v>4889.1997913145206</v>
      </c>
      <c r="E12" s="152">
        <f>'Pro Forma Financial Statement'!D29</f>
        <v>1732.2025747031548</v>
      </c>
      <c r="F12" s="152">
        <f>'Pro Forma Financial Statement'!E29</f>
        <v>1627.8782105327919</v>
      </c>
      <c r="G12" s="152">
        <f>'Pro Forma Financial Statement'!F29</f>
        <v>1481.988865815656</v>
      </c>
      <c r="H12" s="152">
        <f>'Pro Forma Financial Statement'!G29</f>
        <v>1634.7036504382195</v>
      </c>
      <c r="I12" s="152">
        <f>'Pro Forma Financial Statement'!H29</f>
        <v>1441.2672645478669</v>
      </c>
      <c r="J12" s="152">
        <f>'Pro Forma Financial Statement'!I29</f>
        <v>1270.0993581374132</v>
      </c>
      <c r="K12" s="152">
        <f>'Pro Forma Financial Statement'!J29</f>
        <v>1215.9677892247128</v>
      </c>
      <c r="L12" s="152">
        <f>'Pro Forma Financial Statement'!K29</f>
        <v>1182.8352798269043</v>
      </c>
      <c r="M12" s="153">
        <f>'Pro Forma Financial Statement'!L29</f>
        <v>1135.6669445220105</v>
      </c>
      <c r="N12" s="91"/>
    </row>
    <row r="13" spans="2:17">
      <c r="B13" s="66" t="s">
        <v>238</v>
      </c>
      <c r="C13" s="131" t="s">
        <v>243</v>
      </c>
      <c r="D13" s="152">
        <f>D9+D10-D11-D12</f>
        <v>4827.4773654264263</v>
      </c>
      <c r="E13" s="152">
        <f t="shared" ref="E13:M13" si="3">E9+E10-E11-E12</f>
        <v>9664.1338660713409</v>
      </c>
      <c r="F13" s="152">
        <f t="shared" si="3"/>
        <v>11380.870532862373</v>
      </c>
      <c r="G13" s="152">
        <f t="shared" si="3"/>
        <v>13030.438748198359</v>
      </c>
      <c r="H13" s="152">
        <f t="shared" si="3"/>
        <v>14550.487661843432</v>
      </c>
      <c r="I13" s="152">
        <f t="shared" si="3"/>
        <v>16260.36831548515</v>
      </c>
      <c r="J13" s="152">
        <f t="shared" si="3"/>
        <v>17808.117929319204</v>
      </c>
      <c r="K13" s="152">
        <f t="shared" si="3"/>
        <v>19207.935543602274</v>
      </c>
      <c r="L13" s="152">
        <f t="shared" si="3"/>
        <v>20574.992412128307</v>
      </c>
      <c r="M13" s="153">
        <f t="shared" si="3"/>
        <v>21929.654081255776</v>
      </c>
      <c r="N13" s="91"/>
    </row>
    <row r="14" spans="2:17">
      <c r="C14" s="151"/>
      <c r="D14" s="155"/>
      <c r="E14" s="155"/>
      <c r="F14" s="155"/>
      <c r="G14" s="155"/>
      <c r="H14" s="155"/>
      <c r="I14" s="155"/>
      <c r="J14" s="155"/>
      <c r="K14" s="155"/>
      <c r="L14" s="155"/>
      <c r="M14" s="156"/>
    </row>
    <row r="15" spans="2:17">
      <c r="C15" s="157" t="s">
        <v>244</v>
      </c>
      <c r="D15" s="155"/>
      <c r="E15" s="155"/>
      <c r="F15" s="155"/>
      <c r="G15" s="155"/>
      <c r="H15" s="155"/>
      <c r="I15" s="155"/>
      <c r="J15" s="155"/>
      <c r="K15" s="155"/>
      <c r="L15" s="155"/>
      <c r="M15" s="156"/>
    </row>
    <row r="16" spans="2:17">
      <c r="C16" s="150" t="s">
        <v>235</v>
      </c>
      <c r="D16" s="200" t="s">
        <v>105</v>
      </c>
      <c r="E16" s="200" t="s">
        <v>106</v>
      </c>
      <c r="F16" s="200" t="s">
        <v>107</v>
      </c>
      <c r="G16" s="200" t="s">
        <v>108</v>
      </c>
      <c r="H16" s="200" t="s">
        <v>109</v>
      </c>
      <c r="I16" s="201" t="s">
        <v>374</v>
      </c>
      <c r="J16" s="201" t="s">
        <v>375</v>
      </c>
      <c r="K16" s="201" t="s">
        <v>376</v>
      </c>
      <c r="L16" s="201" t="s">
        <v>377</v>
      </c>
      <c r="M16" s="202" t="s">
        <v>378</v>
      </c>
    </row>
    <row r="17" spans="2:14">
      <c r="B17" s="66"/>
      <c r="C17" s="151" t="s">
        <v>245</v>
      </c>
      <c r="D17" s="152">
        <f>-'Pro Forma Financial Statement'!C38</f>
        <v>118.3</v>
      </c>
      <c r="E17" s="152">
        <f>-'Pro Forma Financial Statement'!D38</f>
        <v>118.3</v>
      </c>
      <c r="F17" s="152">
        <f>-'Pro Forma Financial Statement'!E38</f>
        <v>118.3</v>
      </c>
      <c r="G17" s="152">
        <f>-'Pro Forma Financial Statement'!F38</f>
        <v>118.3</v>
      </c>
      <c r="H17" s="152">
        <f>-'Pro Forma Financial Statement'!G38</f>
        <v>118.3</v>
      </c>
      <c r="I17" s="152">
        <f>-'Pro Forma Financial Statement'!H38</f>
        <v>118.3</v>
      </c>
      <c r="J17" s="152">
        <f>-'Pro Forma Financial Statement'!I38</f>
        <v>118.3</v>
      </c>
      <c r="K17" s="152">
        <f>-'Pro Forma Financial Statement'!J38</f>
        <v>118.3</v>
      </c>
      <c r="L17" s="152">
        <f>-'Pro Forma Financial Statement'!K38</f>
        <v>118.3</v>
      </c>
      <c r="M17" s="153">
        <f>-'Pro Forma Financial Statement'!L38</f>
        <v>118.3</v>
      </c>
      <c r="N17" s="91"/>
    </row>
    <row r="18" spans="2:14">
      <c r="B18" s="66" t="s">
        <v>236</v>
      </c>
      <c r="C18" s="151" t="s">
        <v>246</v>
      </c>
      <c r="D18" s="152">
        <f t="shared" ref="D18:M18" si="4">D17*$O$4</f>
        <v>30.5214</v>
      </c>
      <c r="E18" s="152">
        <f t="shared" si="4"/>
        <v>30.5214</v>
      </c>
      <c r="F18" s="152">
        <f t="shared" si="4"/>
        <v>30.5214</v>
      </c>
      <c r="G18" s="152">
        <f t="shared" si="4"/>
        <v>30.5214</v>
      </c>
      <c r="H18" s="152">
        <f t="shared" si="4"/>
        <v>30.5214</v>
      </c>
      <c r="I18" s="152">
        <f t="shared" si="4"/>
        <v>30.5214</v>
      </c>
      <c r="J18" s="152">
        <f t="shared" si="4"/>
        <v>30.5214</v>
      </c>
      <c r="K18" s="152">
        <f t="shared" si="4"/>
        <v>30.5214</v>
      </c>
      <c r="L18" s="152">
        <f t="shared" si="4"/>
        <v>30.5214</v>
      </c>
      <c r="M18" s="153">
        <f t="shared" si="4"/>
        <v>30.5214</v>
      </c>
      <c r="N18" s="91"/>
    </row>
    <row r="19" spans="2:14">
      <c r="B19" s="66" t="s">
        <v>242</v>
      </c>
      <c r="C19" s="151" t="s">
        <v>247</v>
      </c>
      <c r="D19" s="152"/>
      <c r="E19" s="152"/>
      <c r="F19" s="152"/>
      <c r="G19" s="152"/>
      <c r="H19" s="152"/>
      <c r="I19" s="155"/>
      <c r="J19" s="155"/>
      <c r="K19" s="155"/>
      <c r="L19" s="155"/>
      <c r="M19" s="156"/>
    </row>
    <row r="20" spans="2:14">
      <c r="B20" s="66" t="s">
        <v>238</v>
      </c>
      <c r="C20" s="131" t="s">
        <v>248</v>
      </c>
      <c r="D20" s="152">
        <f>D17-D18</f>
        <v>87.778599999999997</v>
      </c>
      <c r="E20" s="152">
        <f t="shared" ref="E20:M20" si="5">E17-E18</f>
        <v>87.778599999999997</v>
      </c>
      <c r="F20" s="152">
        <f t="shared" si="5"/>
        <v>87.778599999999997</v>
      </c>
      <c r="G20" s="152">
        <f t="shared" si="5"/>
        <v>87.778599999999997</v>
      </c>
      <c r="H20" s="152">
        <f t="shared" si="5"/>
        <v>87.778599999999997</v>
      </c>
      <c r="I20" s="152">
        <f t="shared" si="5"/>
        <v>87.778599999999997</v>
      </c>
      <c r="J20" s="152">
        <f t="shared" si="5"/>
        <v>87.778599999999997</v>
      </c>
      <c r="K20" s="152">
        <f t="shared" si="5"/>
        <v>87.778599999999997</v>
      </c>
      <c r="L20" s="152">
        <f t="shared" si="5"/>
        <v>87.778599999999997</v>
      </c>
      <c r="M20" s="153">
        <f t="shared" si="5"/>
        <v>87.778599999999997</v>
      </c>
      <c r="N20" s="91"/>
    </row>
    <row r="21" spans="2:14" ht="16">
      <c r="B21" s="68" t="s">
        <v>236</v>
      </c>
      <c r="C21" s="158" t="s">
        <v>249</v>
      </c>
      <c r="D21" s="152"/>
      <c r="E21" s="152"/>
      <c r="F21" s="152"/>
      <c r="G21" s="152"/>
      <c r="H21" s="152"/>
      <c r="I21" s="155"/>
      <c r="J21" s="155"/>
      <c r="K21" s="155"/>
      <c r="L21" s="155"/>
      <c r="M21" s="156"/>
    </row>
    <row r="22" spans="2:14">
      <c r="B22" s="66" t="s">
        <v>242</v>
      </c>
      <c r="C22" s="151" t="s">
        <v>250</v>
      </c>
      <c r="D22" s="152">
        <f>('Pro Forma Financial Statement'!C39+'Pro Forma Financial Statement'!C40)*-1</f>
        <v>7582.2463935874075</v>
      </c>
      <c r="E22" s="152">
        <f>('Pro Forma Financial Statement'!D39+'Pro Forma Financial Statement'!D40)*-1</f>
        <v>8892.1820131472341</v>
      </c>
      <c r="F22" s="152">
        <f>('Pro Forma Financial Statement'!E39+'Pro Forma Financial Statement'!E40)*-1</f>
        <v>10146.321623158477</v>
      </c>
      <c r="G22" s="152">
        <f>('Pro Forma Financial Statement'!F39+'Pro Forma Financial Statement'!F40)*-1</f>
        <v>11312.42753145793</v>
      </c>
      <c r="H22" s="152">
        <f>('Pro Forma Financial Statement'!G39+'Pro Forma Financial Statement'!G40)*-1</f>
        <v>12608.32412857971</v>
      </c>
      <c r="I22" s="152">
        <f>('Pro Forma Financial Statement'!H39+'Pro Forma Financial Statement'!H40)*-1</f>
        <v>13779.221947613321</v>
      </c>
      <c r="J22" s="152">
        <f>('Pro Forma Financial Statement'!I39+'Pro Forma Financial Statement'!I40)*-1</f>
        <v>14838.462960803656</v>
      </c>
      <c r="K22" s="152">
        <f>('Pro Forma Financial Statement'!J39+'Pro Forma Financial Statement'!J40)*-1</f>
        <v>15871.475071379811</v>
      </c>
      <c r="L22" s="152">
        <f>('Pro Forma Financial Statement'!K39+'Pro Forma Financial Statement'!K40)*-1</f>
        <v>16893.301881741518</v>
      </c>
      <c r="M22" s="153">
        <f>('Pro Forma Financial Statement'!L39+'Pro Forma Financial Statement'!L40)*-1</f>
        <v>17892.607720047054</v>
      </c>
      <c r="N22" s="91"/>
    </row>
    <row r="23" spans="2:14">
      <c r="B23" s="66" t="s">
        <v>242</v>
      </c>
      <c r="C23" s="151" t="s">
        <v>251</v>
      </c>
      <c r="D23" s="152">
        <f>'Pro Forma Financial Statement'!C44</f>
        <v>-2842.5476281609799</v>
      </c>
      <c r="E23" s="152">
        <f>'Pro Forma Financial Statement'!D44</f>
        <v>684.17325292411078</v>
      </c>
      <c r="F23" s="152">
        <f>'Pro Forma Financial Statement'!E44</f>
        <v>1146.7703097038975</v>
      </c>
      <c r="G23" s="152">
        <f>'Pro Forma Financial Statement'!F44</f>
        <v>1630.2326167404299</v>
      </c>
      <c r="H23" s="152">
        <f>'Pro Forma Financial Statement'!G44</f>
        <v>1854.3849332637183</v>
      </c>
      <c r="I23" s="152">
        <f>'Pro Forma Financial Statement'!H44</f>
        <v>2393.3677678718195</v>
      </c>
      <c r="J23" s="152">
        <f>'Pro Forma Financial Statement'!I44</f>
        <v>2881.8763685155463</v>
      </c>
      <c r="K23" s="152">
        <f>'Pro Forma Financial Statement'!J44</f>
        <v>3248.6818722224634</v>
      </c>
      <c r="L23" s="152">
        <f>'Pro Forma Financial Statement'!K44</f>
        <v>3593.9119303867847</v>
      </c>
      <c r="M23" s="153">
        <f>'Pro Forma Financial Statement'!L44</f>
        <v>3949.2677612087209</v>
      </c>
      <c r="N23" s="91"/>
    </row>
    <row r="24" spans="2:14" ht="16">
      <c r="B24" s="66" t="s">
        <v>238</v>
      </c>
      <c r="C24" s="159" t="s">
        <v>252</v>
      </c>
      <c r="D24" s="152">
        <f>D21+D22+D23</f>
        <v>4739.6987654264276</v>
      </c>
      <c r="E24" s="152">
        <f t="shared" ref="E24:M24" si="6">E21+E22+E23</f>
        <v>9576.3552660713449</v>
      </c>
      <c r="F24" s="152">
        <f t="shared" si="6"/>
        <v>11293.091932862375</v>
      </c>
      <c r="G24" s="152">
        <f t="shared" si="6"/>
        <v>12942.66014819836</v>
      </c>
      <c r="H24" s="152">
        <f t="shared" si="6"/>
        <v>14462.709061843429</v>
      </c>
      <c r="I24" s="152">
        <f t="shared" si="6"/>
        <v>16172.589715485141</v>
      </c>
      <c r="J24" s="152">
        <f t="shared" si="6"/>
        <v>17720.339329319202</v>
      </c>
      <c r="K24" s="152">
        <f t="shared" si="6"/>
        <v>19120.156943602276</v>
      </c>
      <c r="L24" s="152">
        <f t="shared" si="6"/>
        <v>20487.213812128302</v>
      </c>
      <c r="M24" s="153">
        <f t="shared" si="6"/>
        <v>21841.875481255775</v>
      </c>
      <c r="N24" s="91"/>
    </row>
    <row r="25" spans="2:14">
      <c r="B25" s="66" t="s">
        <v>238</v>
      </c>
      <c r="C25" s="131" t="s">
        <v>243</v>
      </c>
      <c r="D25" s="152">
        <f>D24+D20</f>
        <v>4827.4773654264272</v>
      </c>
      <c r="E25" s="152">
        <f t="shared" ref="E25:M25" si="7">E24+E20</f>
        <v>9664.1338660713445</v>
      </c>
      <c r="F25" s="152">
        <f t="shared" si="7"/>
        <v>11380.870532862375</v>
      </c>
      <c r="G25" s="152">
        <f t="shared" si="7"/>
        <v>13030.438748198359</v>
      </c>
      <c r="H25" s="152">
        <f t="shared" si="7"/>
        <v>14550.487661843428</v>
      </c>
      <c r="I25" s="152">
        <f t="shared" si="7"/>
        <v>16260.368315485141</v>
      </c>
      <c r="J25" s="152">
        <f t="shared" si="7"/>
        <v>17808.117929319204</v>
      </c>
      <c r="K25" s="152">
        <f t="shared" si="7"/>
        <v>19207.935543602278</v>
      </c>
      <c r="L25" s="152">
        <f t="shared" si="7"/>
        <v>20574.992412128304</v>
      </c>
      <c r="M25" s="153">
        <f t="shared" si="7"/>
        <v>21929.654081255776</v>
      </c>
      <c r="N25" s="91"/>
    </row>
    <row r="26" spans="2:14">
      <c r="C26" s="151"/>
      <c r="D26" s="155"/>
      <c r="E26" s="155"/>
      <c r="F26" s="155"/>
      <c r="G26" s="155"/>
      <c r="H26" s="155"/>
      <c r="I26" s="155"/>
      <c r="J26" s="155"/>
      <c r="K26" s="155"/>
      <c r="L26" s="155"/>
      <c r="M26" s="156"/>
    </row>
    <row r="27" spans="2:14" ht="16" thickBot="1">
      <c r="C27" s="160" t="s">
        <v>253</v>
      </c>
      <c r="D27" s="161">
        <f>D13-D25</f>
        <v>0</v>
      </c>
      <c r="E27" s="161">
        <f t="shared" ref="E27:M27" si="8">E13-E25</f>
        <v>0</v>
      </c>
      <c r="F27" s="161">
        <f t="shared" si="8"/>
        <v>0</v>
      </c>
      <c r="G27" s="161">
        <f t="shared" si="8"/>
        <v>0</v>
      </c>
      <c r="H27" s="161">
        <f t="shared" si="8"/>
        <v>0</v>
      </c>
      <c r="I27" s="161">
        <f t="shared" si="8"/>
        <v>0</v>
      </c>
      <c r="J27" s="161">
        <f t="shared" si="8"/>
        <v>0</v>
      </c>
      <c r="K27" s="161">
        <f t="shared" si="8"/>
        <v>0</v>
      </c>
      <c r="L27" s="161">
        <f t="shared" si="8"/>
        <v>0</v>
      </c>
      <c r="M27" s="162">
        <f t="shared" si="8"/>
        <v>0</v>
      </c>
      <c r="N27" s="91"/>
    </row>
    <row r="29" spans="2:14" ht="16" thickBot="1"/>
    <row r="30" spans="2:14">
      <c r="C30" s="149" t="s">
        <v>384</v>
      </c>
      <c r="D30" s="522" t="s">
        <v>233</v>
      </c>
      <c r="E30" s="522"/>
      <c r="F30" s="522"/>
      <c r="G30" s="522"/>
      <c r="H30" s="522"/>
      <c r="I30" s="522"/>
      <c r="J30" s="522"/>
      <c r="K30" s="522"/>
      <c r="L30" s="522"/>
      <c r="M30" s="523"/>
    </row>
    <row r="31" spans="2:14">
      <c r="C31" s="150" t="s">
        <v>235</v>
      </c>
      <c r="D31" s="195" t="s">
        <v>105</v>
      </c>
      <c r="E31" s="195" t="s">
        <v>106</v>
      </c>
      <c r="F31" s="195" t="s">
        <v>107</v>
      </c>
      <c r="G31" s="195" t="s">
        <v>108</v>
      </c>
      <c r="H31" s="195" t="s">
        <v>109</v>
      </c>
      <c r="I31" s="198" t="s">
        <v>374</v>
      </c>
      <c r="J31" s="198" t="s">
        <v>375</v>
      </c>
      <c r="K31" s="198" t="s">
        <v>376</v>
      </c>
      <c r="L31" s="198" t="s">
        <v>377</v>
      </c>
      <c r="M31" s="199" t="s">
        <v>378</v>
      </c>
      <c r="N31" s="117"/>
    </row>
    <row r="32" spans="2:14">
      <c r="C32" s="151" t="s">
        <v>3</v>
      </c>
      <c r="D32" s="152">
        <f>D5</f>
        <v>40676.557310632765</v>
      </c>
      <c r="E32" s="152">
        <f t="shared" ref="E32:M32" si="9">E5</f>
        <v>47267.582696168203</v>
      </c>
      <c r="F32" s="152">
        <f t="shared" si="9"/>
        <v>53461.654201933277</v>
      </c>
      <c r="G32" s="152">
        <f t="shared" si="9"/>
        <v>59100.617206791845</v>
      </c>
      <c r="H32" s="152">
        <f t="shared" si="9"/>
        <v>65320.659490075144</v>
      </c>
      <c r="I32" s="152">
        <f t="shared" si="9"/>
        <v>70804.676929319598</v>
      </c>
      <c r="J32" s="152">
        <f t="shared" si="9"/>
        <v>75637.40101938197</v>
      </c>
      <c r="K32" s="152">
        <f t="shared" si="9"/>
        <v>80264.154658832602</v>
      </c>
      <c r="L32" s="152">
        <f t="shared" si="9"/>
        <v>84764.839203526848</v>
      </c>
      <c r="M32" s="153">
        <f t="shared" si="9"/>
        <v>89086.048379734639</v>
      </c>
      <c r="N32" s="91"/>
    </row>
    <row r="33" spans="2:15">
      <c r="B33" s="66" t="s">
        <v>236</v>
      </c>
      <c r="C33" s="151" t="s">
        <v>237</v>
      </c>
      <c r="D33" s="152">
        <f>D6</f>
        <v>25554.213107378506</v>
      </c>
      <c r="E33" s="152">
        <f t="shared" ref="E33:M33" si="10">E6</f>
        <v>29553.086916843389</v>
      </c>
      <c r="F33" s="152">
        <f t="shared" si="10"/>
        <v>33265.418161361456</v>
      </c>
      <c r="G33" s="152">
        <f t="shared" si="10"/>
        <v>36596.845419479032</v>
      </c>
      <c r="H33" s="152">
        <f t="shared" si="10"/>
        <v>40252.517090577232</v>
      </c>
      <c r="I33" s="152">
        <f t="shared" si="10"/>
        <v>43419.516363657574</v>
      </c>
      <c r="J33" s="152">
        <f t="shared" si="10"/>
        <v>46156.173119737134</v>
      </c>
      <c r="K33" s="152">
        <f t="shared" si="10"/>
        <v>48738.762198314354</v>
      </c>
      <c r="L33" s="152">
        <f t="shared" si="10"/>
        <v>51217.416089440834</v>
      </c>
      <c r="M33" s="153">
        <f t="shared" si="10"/>
        <v>53561.159987919455</v>
      </c>
      <c r="N33" s="91"/>
    </row>
    <row r="34" spans="2:15">
      <c r="B34" s="66" t="s">
        <v>238</v>
      </c>
      <c r="C34" s="151" t="s">
        <v>239</v>
      </c>
      <c r="D34" s="152">
        <f>D32-D33</f>
        <v>15122.344203254259</v>
      </c>
      <c r="E34" s="152">
        <f t="shared" ref="E34:M34" si="11">E32-E33</f>
        <v>17714.495779324814</v>
      </c>
      <c r="F34" s="152">
        <f t="shared" si="11"/>
        <v>20196.236040571821</v>
      </c>
      <c r="G34" s="152">
        <f t="shared" si="11"/>
        <v>22503.771787312813</v>
      </c>
      <c r="H34" s="152">
        <f t="shared" si="11"/>
        <v>25068.142399497912</v>
      </c>
      <c r="I34" s="152">
        <f t="shared" si="11"/>
        <v>27385.160565662023</v>
      </c>
      <c r="J34" s="152">
        <f t="shared" si="11"/>
        <v>29481.227899644837</v>
      </c>
      <c r="K34" s="152">
        <f t="shared" si="11"/>
        <v>31525.392460518247</v>
      </c>
      <c r="L34" s="152">
        <f t="shared" si="11"/>
        <v>33547.423114086014</v>
      </c>
      <c r="M34" s="153">
        <f t="shared" si="11"/>
        <v>35524.888391815184</v>
      </c>
      <c r="N34" s="91"/>
    </row>
    <row r="35" spans="2:15">
      <c r="B35" s="68" t="s">
        <v>236</v>
      </c>
      <c r="C35" s="167" t="s">
        <v>245</v>
      </c>
      <c r="D35" s="152">
        <f>D17</f>
        <v>118.3</v>
      </c>
      <c r="E35" s="152">
        <f t="shared" ref="E35:M35" si="12">E17</f>
        <v>118.3</v>
      </c>
      <c r="F35" s="152">
        <f t="shared" si="12"/>
        <v>118.3</v>
      </c>
      <c r="G35" s="152">
        <f t="shared" si="12"/>
        <v>118.3</v>
      </c>
      <c r="H35" s="152">
        <f t="shared" si="12"/>
        <v>118.3</v>
      </c>
      <c r="I35" s="152">
        <f t="shared" si="12"/>
        <v>118.3</v>
      </c>
      <c r="J35" s="152">
        <f t="shared" si="12"/>
        <v>118.3</v>
      </c>
      <c r="K35" s="152">
        <f t="shared" si="12"/>
        <v>118.3</v>
      </c>
      <c r="L35" s="152">
        <f t="shared" si="12"/>
        <v>118.3</v>
      </c>
      <c r="M35" s="153">
        <f t="shared" si="12"/>
        <v>118.3</v>
      </c>
      <c r="N35" s="91"/>
    </row>
    <row r="36" spans="2:15">
      <c r="B36" s="66" t="s">
        <v>238</v>
      </c>
      <c r="C36" s="151" t="s">
        <v>254</v>
      </c>
      <c r="D36" s="152">
        <f>D34-D35</f>
        <v>15004.04420325426</v>
      </c>
      <c r="E36" s="152">
        <f t="shared" ref="E36:M36" si="13">E34-E35</f>
        <v>17596.195779324815</v>
      </c>
      <c r="F36" s="152">
        <f t="shared" si="13"/>
        <v>20077.936040571822</v>
      </c>
      <c r="G36" s="152">
        <f t="shared" si="13"/>
        <v>22385.471787312814</v>
      </c>
      <c r="H36" s="152">
        <f t="shared" si="13"/>
        <v>24949.842399497913</v>
      </c>
      <c r="I36" s="152">
        <f t="shared" si="13"/>
        <v>27266.860565662024</v>
      </c>
      <c r="J36" s="152">
        <f t="shared" si="13"/>
        <v>29362.927899644837</v>
      </c>
      <c r="K36" s="152">
        <f t="shared" si="13"/>
        <v>31407.092460518248</v>
      </c>
      <c r="L36" s="152">
        <f t="shared" si="13"/>
        <v>33429.123114086011</v>
      </c>
      <c r="M36" s="153">
        <f t="shared" si="13"/>
        <v>35406.588391815181</v>
      </c>
      <c r="N36" s="91"/>
    </row>
    <row r="37" spans="2:15">
      <c r="B37" s="66" t="s">
        <v>236</v>
      </c>
      <c r="C37" s="151" t="s">
        <v>240</v>
      </c>
      <c r="D37" s="152">
        <f t="shared" ref="D37:M37" si="14">D36*$O$4</f>
        <v>3871.0434044395993</v>
      </c>
      <c r="E37" s="152">
        <f t="shared" si="14"/>
        <v>4539.8185110658023</v>
      </c>
      <c r="F37" s="152">
        <f t="shared" si="14"/>
        <v>5180.1074984675297</v>
      </c>
      <c r="G37" s="152">
        <f t="shared" si="14"/>
        <v>5775.4517211267057</v>
      </c>
      <c r="H37" s="152">
        <f t="shared" si="14"/>
        <v>6437.0593390704616</v>
      </c>
      <c r="I37" s="152">
        <f t="shared" si="14"/>
        <v>7034.850025940802</v>
      </c>
      <c r="J37" s="152">
        <f t="shared" si="14"/>
        <v>7575.6353981083685</v>
      </c>
      <c r="K37" s="152">
        <f t="shared" si="14"/>
        <v>8103.029854813708</v>
      </c>
      <c r="L37" s="152">
        <f t="shared" si="14"/>
        <v>8624.7137634341907</v>
      </c>
      <c r="M37" s="153">
        <f t="shared" si="14"/>
        <v>9134.8998050883165</v>
      </c>
      <c r="N37" s="91"/>
    </row>
    <row r="38" spans="2:15" ht="16">
      <c r="B38" s="67" t="s">
        <v>238</v>
      </c>
      <c r="C38" s="154" t="s">
        <v>255</v>
      </c>
      <c r="D38" s="152">
        <f>D36-D37</f>
        <v>11133.000798814661</v>
      </c>
      <c r="E38" s="152">
        <f t="shared" ref="E38:M38" si="15">E36-E37</f>
        <v>13056.377268259013</v>
      </c>
      <c r="F38" s="152">
        <f t="shared" si="15"/>
        <v>14897.828542104293</v>
      </c>
      <c r="G38" s="152">
        <f t="shared" si="15"/>
        <v>16610.020066186109</v>
      </c>
      <c r="H38" s="152">
        <f t="shared" si="15"/>
        <v>18512.78306042745</v>
      </c>
      <c r="I38" s="152">
        <f t="shared" si="15"/>
        <v>20232.010539721221</v>
      </c>
      <c r="J38" s="152">
        <f t="shared" si="15"/>
        <v>21787.292501536467</v>
      </c>
      <c r="K38" s="152">
        <f t="shared" si="15"/>
        <v>23304.062605704541</v>
      </c>
      <c r="L38" s="152">
        <f t="shared" si="15"/>
        <v>24804.409350651818</v>
      </c>
      <c r="M38" s="153">
        <f t="shared" si="15"/>
        <v>26271.688586726865</v>
      </c>
      <c r="N38" s="91"/>
    </row>
    <row r="39" spans="2:15">
      <c r="B39" s="68" t="s">
        <v>242</v>
      </c>
      <c r="C39" s="167" t="s">
        <v>256</v>
      </c>
      <c r="D39" s="155"/>
      <c r="E39" s="155"/>
      <c r="F39" s="155"/>
      <c r="G39" s="155"/>
      <c r="H39" s="155"/>
      <c r="I39" s="155"/>
      <c r="J39" s="155"/>
      <c r="K39" s="155"/>
      <c r="L39" s="155"/>
      <c r="M39" s="156"/>
    </row>
    <row r="40" spans="2:15">
      <c r="B40" s="66" t="s">
        <v>242</v>
      </c>
      <c r="C40" s="151" t="s">
        <v>182</v>
      </c>
      <c r="D40" s="152">
        <f>D10</f>
        <v>1140.5817590232316</v>
      </c>
      <c r="E40" s="152">
        <f t="shared" ref="E40:M40" si="16">E10</f>
        <v>1325.3959081310691</v>
      </c>
      <c r="F40" s="152">
        <f t="shared" si="16"/>
        <v>1499.0793622053516</v>
      </c>
      <c r="G40" s="152">
        <f t="shared" si="16"/>
        <v>1657.1974225424608</v>
      </c>
      <c r="H40" s="152">
        <f t="shared" si="16"/>
        <v>1831.6091043002891</v>
      </c>
      <c r="I40" s="152">
        <f t="shared" si="16"/>
        <v>1985.3824487256904</v>
      </c>
      <c r="J40" s="152">
        <f t="shared" si="16"/>
        <v>2120.8933500397611</v>
      </c>
      <c r="K40" s="152">
        <f t="shared" si="16"/>
        <v>2250.6287837528862</v>
      </c>
      <c r="L40" s="152">
        <f t="shared" si="16"/>
        <v>2376.8292056714386</v>
      </c>
      <c r="M40" s="153">
        <f t="shared" si="16"/>
        <v>2497.9970893167456</v>
      </c>
      <c r="N40" s="91"/>
    </row>
    <row r="41" spans="2:15">
      <c r="B41" s="66" t="s">
        <v>236</v>
      </c>
      <c r="C41" s="151" t="s">
        <v>9</v>
      </c>
      <c r="D41" s="152">
        <f>D11</f>
        <v>2644.6840010969445</v>
      </c>
      <c r="E41" s="152">
        <f t="shared" ref="E41:M41" si="17">E11</f>
        <v>3073.2153356155841</v>
      </c>
      <c r="F41" s="152">
        <f t="shared" si="17"/>
        <v>3475.9377609144749</v>
      </c>
      <c r="G41" s="152">
        <f t="shared" si="17"/>
        <v>3842.5684747145515</v>
      </c>
      <c r="H41" s="152">
        <f t="shared" si="17"/>
        <v>4246.9794524460876</v>
      </c>
      <c r="I41" s="152">
        <f t="shared" si="17"/>
        <v>4603.5360084138965</v>
      </c>
      <c r="J41" s="152">
        <f t="shared" si="17"/>
        <v>4917.7471641196134</v>
      </c>
      <c r="K41" s="152">
        <f t="shared" si="17"/>
        <v>5218.5666566304408</v>
      </c>
      <c r="L41" s="152">
        <f t="shared" si="17"/>
        <v>5511.1894643680507</v>
      </c>
      <c r="M41" s="153">
        <f t="shared" si="17"/>
        <v>5792.1432502658254</v>
      </c>
      <c r="N41" s="91"/>
      <c r="O41" s="91"/>
    </row>
    <row r="42" spans="2:15">
      <c r="B42" s="66" t="s">
        <v>236</v>
      </c>
      <c r="C42" s="151" t="s">
        <v>184</v>
      </c>
      <c r="D42" s="152">
        <f>D12</f>
        <v>4889.1997913145206</v>
      </c>
      <c r="E42" s="152">
        <f t="shared" ref="E42:M42" si="18">E12</f>
        <v>1732.2025747031548</v>
      </c>
      <c r="F42" s="152">
        <f t="shared" si="18"/>
        <v>1627.8782105327919</v>
      </c>
      <c r="G42" s="152">
        <f t="shared" si="18"/>
        <v>1481.988865815656</v>
      </c>
      <c r="H42" s="152">
        <f t="shared" si="18"/>
        <v>1634.7036504382195</v>
      </c>
      <c r="I42" s="152">
        <f t="shared" si="18"/>
        <v>1441.2672645478669</v>
      </c>
      <c r="J42" s="152">
        <f t="shared" si="18"/>
        <v>1270.0993581374132</v>
      </c>
      <c r="K42" s="152">
        <f t="shared" si="18"/>
        <v>1215.9677892247128</v>
      </c>
      <c r="L42" s="152">
        <f t="shared" si="18"/>
        <v>1182.8352798269043</v>
      </c>
      <c r="M42" s="153">
        <f t="shared" si="18"/>
        <v>1135.6669445220105</v>
      </c>
      <c r="N42" s="91"/>
    </row>
    <row r="43" spans="2:15">
      <c r="B43" s="66" t="s">
        <v>238</v>
      </c>
      <c r="C43" s="131" t="s">
        <v>257</v>
      </c>
      <c r="D43" s="152">
        <f>D38+D39+D40-D41-D42</f>
        <v>4739.6987654264267</v>
      </c>
      <c r="E43" s="152">
        <f t="shared" ref="E43:M43" si="19">E38+E39+E40-E41-E42</f>
        <v>9576.3552660713431</v>
      </c>
      <c r="F43" s="152">
        <f t="shared" si="19"/>
        <v>11293.091932862375</v>
      </c>
      <c r="G43" s="152">
        <f t="shared" si="19"/>
        <v>12942.660148198362</v>
      </c>
      <c r="H43" s="152">
        <f t="shared" si="19"/>
        <v>14462.70906184343</v>
      </c>
      <c r="I43" s="152">
        <f t="shared" si="19"/>
        <v>16172.589715485148</v>
      </c>
      <c r="J43" s="152">
        <f t="shared" si="19"/>
        <v>17720.339329319202</v>
      </c>
      <c r="K43" s="152">
        <f t="shared" si="19"/>
        <v>19120.156943602276</v>
      </c>
      <c r="L43" s="152">
        <f t="shared" si="19"/>
        <v>20487.213812128302</v>
      </c>
      <c r="M43" s="153">
        <f t="shared" si="19"/>
        <v>21841.875481255775</v>
      </c>
      <c r="N43" s="91"/>
    </row>
    <row r="44" spans="2:15">
      <c r="C44" s="151"/>
      <c r="D44" s="155"/>
      <c r="E44" s="155"/>
      <c r="F44" s="155"/>
      <c r="G44" s="155"/>
      <c r="H44" s="155"/>
      <c r="I44" s="155"/>
      <c r="J44" s="155"/>
      <c r="K44" s="155"/>
      <c r="L44" s="155"/>
      <c r="M44" s="156"/>
    </row>
    <row r="45" spans="2:15">
      <c r="C45" s="157" t="s">
        <v>258</v>
      </c>
      <c r="D45" s="155"/>
      <c r="E45" s="155"/>
      <c r="F45" s="155"/>
      <c r="G45" s="155"/>
      <c r="H45" s="155"/>
      <c r="I45" s="155"/>
      <c r="J45" s="155"/>
      <c r="K45" s="155"/>
      <c r="L45" s="155"/>
      <c r="M45" s="156"/>
    </row>
    <row r="46" spans="2:15">
      <c r="C46" s="168" t="s">
        <v>235</v>
      </c>
      <c r="D46" s="200" t="s">
        <v>105</v>
      </c>
      <c r="E46" s="200" t="s">
        <v>106</v>
      </c>
      <c r="F46" s="200" t="s">
        <v>107</v>
      </c>
      <c r="G46" s="200" t="s">
        <v>108</v>
      </c>
      <c r="H46" s="200" t="s">
        <v>109</v>
      </c>
      <c r="I46" s="201" t="s">
        <v>374</v>
      </c>
      <c r="J46" s="201" t="s">
        <v>375</v>
      </c>
      <c r="K46" s="201" t="s">
        <v>376</v>
      </c>
      <c r="L46" s="201" t="s">
        <v>377</v>
      </c>
      <c r="M46" s="202" t="s">
        <v>378</v>
      </c>
      <c r="N46" s="117"/>
    </row>
    <row r="47" spans="2:15" ht="16">
      <c r="B47" s="66" t="s">
        <v>236</v>
      </c>
      <c r="C47" s="158" t="s">
        <v>249</v>
      </c>
      <c r="D47" s="155"/>
      <c r="E47" s="155"/>
      <c r="F47" s="155"/>
      <c r="G47" s="155"/>
      <c r="H47" s="155"/>
      <c r="I47" s="155"/>
      <c r="J47" s="155"/>
      <c r="K47" s="155"/>
      <c r="L47" s="155"/>
      <c r="M47" s="156"/>
    </row>
    <row r="48" spans="2:15">
      <c r="B48" s="66" t="s">
        <v>242</v>
      </c>
      <c r="C48" s="151" t="s">
        <v>259</v>
      </c>
      <c r="D48" s="152">
        <f>D22</f>
        <v>7582.2463935874075</v>
      </c>
      <c r="E48" s="152">
        <f t="shared" ref="E48:M48" si="20">E22</f>
        <v>8892.1820131472341</v>
      </c>
      <c r="F48" s="152">
        <f t="shared" si="20"/>
        <v>10146.321623158477</v>
      </c>
      <c r="G48" s="152">
        <f t="shared" si="20"/>
        <v>11312.42753145793</v>
      </c>
      <c r="H48" s="152">
        <f t="shared" si="20"/>
        <v>12608.32412857971</v>
      </c>
      <c r="I48" s="152">
        <f t="shared" si="20"/>
        <v>13779.221947613321</v>
      </c>
      <c r="J48" s="152">
        <f t="shared" si="20"/>
        <v>14838.462960803656</v>
      </c>
      <c r="K48" s="152">
        <f t="shared" si="20"/>
        <v>15871.475071379811</v>
      </c>
      <c r="L48" s="152">
        <f t="shared" si="20"/>
        <v>16893.301881741518</v>
      </c>
      <c r="M48" s="153">
        <f t="shared" si="20"/>
        <v>17892.607720047054</v>
      </c>
      <c r="N48" s="91"/>
    </row>
    <row r="49" spans="2:15">
      <c r="B49" s="66" t="s">
        <v>242</v>
      </c>
      <c r="C49" s="151" t="s">
        <v>251</v>
      </c>
      <c r="D49" s="152">
        <f>D23</f>
        <v>-2842.5476281609799</v>
      </c>
      <c r="E49" s="152">
        <f t="shared" ref="E49:M49" si="21">E23</f>
        <v>684.17325292411078</v>
      </c>
      <c r="F49" s="152">
        <f t="shared" si="21"/>
        <v>1146.7703097038975</v>
      </c>
      <c r="G49" s="152">
        <f t="shared" si="21"/>
        <v>1630.2326167404299</v>
      </c>
      <c r="H49" s="152">
        <f t="shared" si="21"/>
        <v>1854.3849332637183</v>
      </c>
      <c r="I49" s="152">
        <f t="shared" si="21"/>
        <v>2393.3677678718195</v>
      </c>
      <c r="J49" s="152">
        <f t="shared" si="21"/>
        <v>2881.8763685155463</v>
      </c>
      <c r="K49" s="152">
        <f t="shared" si="21"/>
        <v>3248.6818722224634</v>
      </c>
      <c r="L49" s="152">
        <f t="shared" si="21"/>
        <v>3593.9119303867847</v>
      </c>
      <c r="M49" s="153">
        <f t="shared" si="21"/>
        <v>3949.2677612087209</v>
      </c>
      <c r="N49" s="91"/>
    </row>
    <row r="50" spans="2:15" ht="16">
      <c r="B50" s="66" t="s">
        <v>238</v>
      </c>
      <c r="C50" s="169" t="s">
        <v>260</v>
      </c>
      <c r="D50" s="152">
        <f>-D47+D48+D49</f>
        <v>4739.6987654264276</v>
      </c>
      <c r="E50" s="152">
        <f t="shared" ref="E50:M50" si="22">-E47+E48+E49</f>
        <v>9576.3552660713449</v>
      </c>
      <c r="F50" s="152">
        <f t="shared" si="22"/>
        <v>11293.091932862375</v>
      </c>
      <c r="G50" s="152">
        <f t="shared" si="22"/>
        <v>12942.66014819836</v>
      </c>
      <c r="H50" s="152">
        <f t="shared" si="22"/>
        <v>14462.709061843429</v>
      </c>
      <c r="I50" s="152">
        <f t="shared" si="22"/>
        <v>16172.589715485141</v>
      </c>
      <c r="J50" s="152">
        <f t="shared" si="22"/>
        <v>17720.339329319202</v>
      </c>
      <c r="K50" s="152">
        <f t="shared" si="22"/>
        <v>19120.156943602276</v>
      </c>
      <c r="L50" s="152">
        <f t="shared" si="22"/>
        <v>20487.213812128302</v>
      </c>
      <c r="M50" s="153">
        <f t="shared" si="22"/>
        <v>21841.875481255775</v>
      </c>
      <c r="N50" s="91"/>
    </row>
    <row r="51" spans="2:15">
      <c r="C51" s="151"/>
      <c r="D51" s="155"/>
      <c r="E51" s="155"/>
      <c r="F51" s="155"/>
      <c r="G51" s="155"/>
      <c r="H51" s="155"/>
      <c r="I51" s="155"/>
      <c r="J51" s="155"/>
      <c r="K51" s="155"/>
      <c r="L51" s="155"/>
      <c r="M51" s="156"/>
    </row>
    <row r="52" spans="2:15" ht="16" thickBot="1">
      <c r="C52" s="160" t="s">
        <v>253</v>
      </c>
      <c r="D52" s="161">
        <f>D43-D50</f>
        <v>0</v>
      </c>
      <c r="E52" s="161">
        <f t="shared" ref="E52:M52" si="23">E43-E50</f>
        <v>0</v>
      </c>
      <c r="F52" s="161">
        <f t="shared" si="23"/>
        <v>0</v>
      </c>
      <c r="G52" s="161">
        <f t="shared" si="23"/>
        <v>0</v>
      </c>
      <c r="H52" s="161">
        <f t="shared" si="23"/>
        <v>0</v>
      </c>
      <c r="I52" s="161">
        <f t="shared" si="23"/>
        <v>0</v>
      </c>
      <c r="J52" s="161">
        <f t="shared" si="23"/>
        <v>0</v>
      </c>
      <c r="K52" s="161">
        <f t="shared" si="23"/>
        <v>0</v>
      </c>
      <c r="L52" s="161">
        <f t="shared" si="23"/>
        <v>0</v>
      </c>
      <c r="M52" s="162">
        <f t="shared" si="23"/>
        <v>0</v>
      </c>
    </row>
    <row r="53" spans="2:15">
      <c r="D53" s="91"/>
      <c r="E53" s="91"/>
      <c r="F53" s="91"/>
      <c r="G53" s="91"/>
      <c r="H53" s="91"/>
      <c r="I53" s="91"/>
      <c r="J53" s="91"/>
      <c r="K53" s="91"/>
      <c r="M53" s="91"/>
    </row>
    <row r="54" spans="2:15" ht="16" thickBot="1">
      <c r="D54" s="91"/>
      <c r="E54" s="91"/>
      <c r="F54" s="91"/>
      <c r="G54" s="91"/>
      <c r="H54" s="91"/>
      <c r="I54" s="91"/>
      <c r="J54" s="91"/>
      <c r="K54" s="91"/>
      <c r="L54" s="91"/>
      <c r="M54" s="91"/>
    </row>
    <row r="55" spans="2:15">
      <c r="C55" s="166"/>
      <c r="D55" s="205" t="s">
        <v>105</v>
      </c>
      <c r="E55" s="205" t="s">
        <v>106</v>
      </c>
      <c r="F55" s="205" t="s">
        <v>107</v>
      </c>
      <c r="G55" s="205" t="s">
        <v>108</v>
      </c>
      <c r="H55" s="205" t="s">
        <v>109</v>
      </c>
      <c r="I55" s="206" t="s">
        <v>374</v>
      </c>
      <c r="J55" s="206" t="s">
        <v>375</v>
      </c>
      <c r="K55" s="206" t="s">
        <v>376</v>
      </c>
      <c r="L55" s="206" t="s">
        <v>377</v>
      </c>
      <c r="M55" s="207" t="s">
        <v>378</v>
      </c>
    </row>
    <row r="56" spans="2:15">
      <c r="C56" s="151" t="s">
        <v>189</v>
      </c>
      <c r="D56" s="170">
        <f t="shared" ref="D56:M56" si="24">$O$7</f>
        <v>8.5549211698704067E-2</v>
      </c>
      <c r="E56" s="170">
        <f t="shared" si="24"/>
        <v>8.5549211698704067E-2</v>
      </c>
      <c r="F56" s="170">
        <f t="shared" si="24"/>
        <v>8.5549211698704067E-2</v>
      </c>
      <c r="G56" s="170">
        <f t="shared" si="24"/>
        <v>8.5549211698704067E-2</v>
      </c>
      <c r="H56" s="170">
        <f t="shared" si="24"/>
        <v>8.5549211698704067E-2</v>
      </c>
      <c r="I56" s="170">
        <f t="shared" si="24"/>
        <v>8.5549211698704067E-2</v>
      </c>
      <c r="J56" s="170">
        <f t="shared" si="24"/>
        <v>8.5549211698704067E-2</v>
      </c>
      <c r="K56" s="170">
        <f t="shared" si="24"/>
        <v>8.5549211698704067E-2</v>
      </c>
      <c r="L56" s="170">
        <f t="shared" si="24"/>
        <v>8.5549211698704067E-2</v>
      </c>
      <c r="M56" s="171">
        <f t="shared" si="24"/>
        <v>8.5549211698704067E-2</v>
      </c>
      <c r="N56" s="63"/>
    </row>
    <row r="57" spans="2:15">
      <c r="C57" s="151" t="s">
        <v>261</v>
      </c>
      <c r="D57" s="155">
        <v>1</v>
      </c>
      <c r="E57" s="155">
        <v>2</v>
      </c>
      <c r="F57" s="155">
        <v>3</v>
      </c>
      <c r="G57" s="155">
        <v>4</v>
      </c>
      <c r="H57" s="155">
        <v>5</v>
      </c>
      <c r="I57" s="155">
        <v>6</v>
      </c>
      <c r="J57" s="155">
        <v>7</v>
      </c>
      <c r="K57" s="155">
        <v>8</v>
      </c>
      <c r="L57" s="155">
        <v>9</v>
      </c>
      <c r="M57" s="156">
        <v>10</v>
      </c>
    </row>
    <row r="58" spans="2:15">
      <c r="C58" s="151"/>
      <c r="D58" s="155"/>
      <c r="E58" s="155"/>
      <c r="F58" s="155"/>
      <c r="G58" s="155"/>
      <c r="H58" s="155"/>
      <c r="I58" s="155"/>
      <c r="J58" s="155"/>
      <c r="K58" s="155"/>
      <c r="L58" s="155"/>
      <c r="M58" s="156"/>
    </row>
    <row r="59" spans="2:15" ht="16" thickBot="1">
      <c r="C59" s="151" t="s">
        <v>262</v>
      </c>
      <c r="D59" s="336">
        <f>1+D57*D56</f>
        <v>1.085549211698704</v>
      </c>
      <c r="E59" s="336">
        <f>D59*(1+E56)</f>
        <v>1.1784170910196776</v>
      </c>
      <c r="F59" s="336">
        <f t="shared" ref="F59:M59" si="25">E59*(1+F56)</f>
        <v>1.2792297442086911</v>
      </c>
      <c r="G59" s="336">
        <f t="shared" si="25"/>
        <v>1.3886668404072793</v>
      </c>
      <c r="H59" s="336">
        <f t="shared" si="25"/>
        <v>1.5074661939162519</v>
      </c>
      <c r="I59" s="336">
        <f t="shared" si="25"/>
        <v>1.636428738468233</v>
      </c>
      <c r="J59" s="336">
        <f t="shared" si="25"/>
        <v>1.7764239270452951</v>
      </c>
      <c r="K59" s="336">
        <f t="shared" si="25"/>
        <v>1.9283955936467361</v>
      </c>
      <c r="L59" s="336">
        <f t="shared" si="25"/>
        <v>2.0933683165264685</v>
      </c>
      <c r="M59" s="172">
        <f t="shared" si="25"/>
        <v>2.2724543258003509</v>
      </c>
      <c r="N59" s="6"/>
    </row>
    <row r="60" spans="2:15">
      <c r="C60" s="151"/>
      <c r="D60" s="155"/>
      <c r="E60" s="337" t="s">
        <v>407</v>
      </c>
      <c r="F60" s="155"/>
      <c r="G60" s="155"/>
      <c r="H60" s="155"/>
      <c r="I60" s="155"/>
      <c r="J60" s="155"/>
      <c r="K60" s="155"/>
      <c r="L60" s="155"/>
      <c r="M60" s="156"/>
      <c r="O60" s="193" t="s">
        <v>391</v>
      </c>
    </row>
    <row r="61" spans="2:15" ht="16" thickBot="1">
      <c r="C61" s="151" t="s">
        <v>263</v>
      </c>
      <c r="D61" s="155"/>
      <c r="E61" s="155"/>
      <c r="F61" s="155"/>
      <c r="G61" s="155"/>
      <c r="H61" s="155"/>
      <c r="I61" s="155"/>
      <c r="J61" s="155"/>
      <c r="K61" s="155"/>
      <c r="L61" s="155"/>
      <c r="M61" s="173">
        <f>3.05%*(1+O61)</f>
        <v>3.0499999999999999E-2</v>
      </c>
      <c r="O61" s="305"/>
    </row>
    <row r="62" spans="2:15">
      <c r="C62" s="151" t="s">
        <v>264</v>
      </c>
      <c r="D62" s="155"/>
      <c r="E62" s="155"/>
      <c r="F62" s="155"/>
      <c r="G62" s="155"/>
      <c r="H62" s="152"/>
      <c r="I62" s="155"/>
      <c r="J62" s="155"/>
      <c r="K62" s="155"/>
      <c r="L62" s="155"/>
      <c r="M62" s="153">
        <f>M13*(1+M61)/(M56-M61)</f>
        <v>410514.66194321687</v>
      </c>
      <c r="N62" s="91"/>
    </row>
    <row r="63" spans="2:15">
      <c r="C63" s="151"/>
      <c r="D63" s="155"/>
      <c r="E63" s="155"/>
      <c r="F63" s="155"/>
      <c r="G63" s="155"/>
      <c r="H63" s="155"/>
      <c r="I63" s="155"/>
      <c r="J63" s="155"/>
      <c r="K63" s="155"/>
      <c r="L63" s="155"/>
      <c r="M63" s="156"/>
    </row>
    <row r="64" spans="2:15">
      <c r="C64" s="204" t="s">
        <v>265</v>
      </c>
      <c r="D64" s="152">
        <f t="shared" ref="D64:M64" si="26">D13+D62</f>
        <v>4827.4773654264263</v>
      </c>
      <c r="E64" s="152">
        <f t="shared" si="26"/>
        <v>9664.1338660713409</v>
      </c>
      <c r="F64" s="152">
        <f t="shared" si="26"/>
        <v>11380.870532862373</v>
      </c>
      <c r="G64" s="152">
        <f t="shared" si="26"/>
        <v>13030.438748198359</v>
      </c>
      <c r="H64" s="152">
        <f t="shared" si="26"/>
        <v>14550.487661843432</v>
      </c>
      <c r="I64" s="152">
        <f t="shared" si="26"/>
        <v>16260.36831548515</v>
      </c>
      <c r="J64" s="152">
        <f t="shared" si="26"/>
        <v>17808.117929319204</v>
      </c>
      <c r="K64" s="152">
        <f t="shared" si="26"/>
        <v>19207.935543602274</v>
      </c>
      <c r="L64" s="152">
        <f t="shared" si="26"/>
        <v>20574.992412128307</v>
      </c>
      <c r="M64" s="153">
        <f t="shared" si="26"/>
        <v>432444.31602447265</v>
      </c>
      <c r="N64" s="91"/>
    </row>
    <row r="65" spans="3:15">
      <c r="C65" s="151"/>
      <c r="D65" s="152"/>
      <c r="E65" s="152"/>
      <c r="F65" s="152"/>
      <c r="G65" s="152"/>
      <c r="H65" s="152"/>
      <c r="I65" s="152"/>
      <c r="J65" s="152"/>
      <c r="K65" s="152"/>
      <c r="L65" s="152"/>
      <c r="M65" s="153"/>
    </row>
    <row r="66" spans="3:15" ht="16" thickBot="1">
      <c r="C66" s="174" t="s">
        <v>266</v>
      </c>
      <c r="D66" s="175">
        <f>D64/D59</f>
        <v>4447.0368670548123</v>
      </c>
      <c r="E66" s="175">
        <f t="shared" ref="E66:G66" si="27">E64/E59</f>
        <v>8200.9450980628772</v>
      </c>
      <c r="F66" s="175">
        <f t="shared" si="27"/>
        <v>8896.6587779760994</v>
      </c>
      <c r="G66" s="175">
        <f t="shared" si="27"/>
        <v>9383.4160714723257</v>
      </c>
      <c r="H66" s="175">
        <f>H64/H59</f>
        <v>9652.2812389196388</v>
      </c>
      <c r="I66" s="175">
        <f t="shared" ref="I66:M66" si="28">I64/I59</f>
        <v>9936.4964286227005</v>
      </c>
      <c r="J66" s="175">
        <f t="shared" si="28"/>
        <v>10024.700556099375</v>
      </c>
      <c r="K66" s="175">
        <f t="shared" si="28"/>
        <v>9960.5784243048765</v>
      </c>
      <c r="L66" s="175">
        <f t="shared" si="28"/>
        <v>9828.6537775963116</v>
      </c>
      <c r="M66" s="176">
        <f t="shared" si="28"/>
        <v>190298.35324508324</v>
      </c>
      <c r="N66" s="91"/>
    </row>
    <row r="68" spans="3:15" ht="16" thickBot="1"/>
    <row r="69" spans="3:15">
      <c r="C69" s="149" t="s">
        <v>365</v>
      </c>
      <c r="D69" s="208">
        <f>SUM(D66:M66)</f>
        <v>270629.12048519228</v>
      </c>
      <c r="E69" s="177" t="s">
        <v>369</v>
      </c>
      <c r="G69" s="309"/>
      <c r="H69" s="518" t="s">
        <v>394</v>
      </c>
      <c r="I69" s="518"/>
      <c r="J69" s="518"/>
      <c r="K69" s="518"/>
      <c r="L69" s="518"/>
      <c r="M69" s="518"/>
      <c r="N69" s="518"/>
      <c r="O69" s="519"/>
    </row>
    <row r="70" spans="3:15" ht="15" customHeight="1">
      <c r="C70" s="151" t="s">
        <v>379</v>
      </c>
      <c r="D70" s="152">
        <f>'Balance Sheet'!E24</f>
        <v>12916</v>
      </c>
      <c r="E70" s="156" t="s">
        <v>370</v>
      </c>
      <c r="G70" s="310"/>
      <c r="H70" s="520"/>
      <c r="I70" s="520"/>
      <c r="J70" s="520"/>
      <c r="K70" s="520"/>
      <c r="L70" s="520"/>
      <c r="M70" s="520"/>
      <c r="N70" s="520"/>
      <c r="O70" s="521"/>
    </row>
    <row r="71" spans="3:15">
      <c r="C71" s="151" t="s">
        <v>366</v>
      </c>
      <c r="D71" s="152">
        <f>'Balance Sheet'!E45+'Balance Sheet'!E59</f>
        <v>4390.8999999999996</v>
      </c>
      <c r="E71" s="156" t="s">
        <v>370</v>
      </c>
      <c r="G71" s="310"/>
      <c r="H71" s="526" t="s">
        <v>392</v>
      </c>
      <c r="I71" s="526"/>
      <c r="J71" s="526"/>
      <c r="K71" s="526"/>
      <c r="L71" s="526"/>
      <c r="M71" s="526"/>
      <c r="N71" s="526"/>
      <c r="O71" s="527"/>
    </row>
    <row r="72" spans="3:15">
      <c r="C72" s="204" t="s">
        <v>223</v>
      </c>
      <c r="D72" s="209">
        <f>D69+D70-D71</f>
        <v>279154.22048519226</v>
      </c>
      <c r="E72" s="156" t="s">
        <v>370</v>
      </c>
      <c r="G72" s="528" t="s">
        <v>393</v>
      </c>
      <c r="H72" s="308">
        <f>D76</f>
        <v>724.28576743602366</v>
      </c>
      <c r="I72" s="306">
        <v>-0.15</v>
      </c>
      <c r="J72" s="306">
        <v>-0.1</v>
      </c>
      <c r="K72" s="306">
        <v>-0.05</v>
      </c>
      <c r="L72" s="306">
        <v>0</v>
      </c>
      <c r="M72" s="306">
        <v>0.05</v>
      </c>
      <c r="N72" s="306">
        <v>0.1</v>
      </c>
      <c r="O72" s="311">
        <v>0.15</v>
      </c>
    </row>
    <row r="73" spans="3:15">
      <c r="C73" s="151"/>
      <c r="D73" s="155"/>
      <c r="E73" s="156"/>
      <c r="G73" s="528"/>
      <c r="H73" s="307">
        <v>0.15</v>
      </c>
      <c r="I73">
        <f t="dataTable" ref="I73:O79" dt2D="1" dtr="1" r1="O61" r2="O10"/>
        <v>555.35367960000485</v>
      </c>
      <c r="J73">
        <v>562.60923281607518</v>
      </c>
      <c r="K73">
        <v>570.18362371323474</v>
      </c>
      <c r="L73">
        <v>578.0983409206799</v>
      </c>
      <c r="M73">
        <v>586.3768484649454</v>
      </c>
      <c r="N73">
        <v>595.04481810114771</v>
      </c>
      <c r="O73" s="312">
        <v>604.13039522415704</v>
      </c>
    </row>
    <row r="74" spans="3:15">
      <c r="C74" s="151" t="s">
        <v>367</v>
      </c>
      <c r="D74" s="179">
        <v>385.42</v>
      </c>
      <c r="E74" s="156" t="s">
        <v>369</v>
      </c>
      <c r="G74" s="528"/>
      <c r="H74" s="307">
        <v>0.1</v>
      </c>
      <c r="I74">
        <v>593.44354291434672</v>
      </c>
      <c r="J74">
        <v>601.94240720775372</v>
      </c>
      <c r="K74">
        <v>610.83927366936393</v>
      </c>
      <c r="L74">
        <v>620.16277031181471</v>
      </c>
      <c r="M74">
        <v>629.94433818441087</v>
      </c>
      <c r="N74">
        <v>640.21858559179907</v>
      </c>
      <c r="O74" s="312">
        <v>651.02369721944092</v>
      </c>
    </row>
    <row r="75" spans="3:15">
      <c r="C75" s="151"/>
      <c r="D75" s="155"/>
      <c r="E75" s="156"/>
      <c r="G75" s="528"/>
      <c r="H75" s="307">
        <v>0.05</v>
      </c>
      <c r="I75">
        <v>636.75023652836319</v>
      </c>
      <c r="J75">
        <v>646.78751698248584</v>
      </c>
      <c r="K75">
        <v>657.32788476742792</v>
      </c>
      <c r="L75">
        <v>668.41013566339927</v>
      </c>
      <c r="M75">
        <v>680.07715969650133</v>
      </c>
      <c r="N75">
        <v>692.37649587346334</v>
      </c>
      <c r="O75" s="312">
        <v>705.36097962263818</v>
      </c>
    </row>
    <row r="76" spans="3:15" ht="16" thickBot="1">
      <c r="C76" s="174" t="s">
        <v>368</v>
      </c>
      <c r="D76" s="175">
        <f>D72/D74</f>
        <v>724.28576743602366</v>
      </c>
      <c r="E76" s="180"/>
      <c r="G76" s="528"/>
      <c r="H76" s="307">
        <v>0</v>
      </c>
      <c r="I76">
        <v>686.40059823296212</v>
      </c>
      <c r="J76">
        <v>698.3660428504437</v>
      </c>
      <c r="K76">
        <v>710.9765624055608</v>
      </c>
      <c r="L76">
        <v>724.28576743602366</v>
      </c>
      <c r="M76">
        <v>738.35337831786831</v>
      </c>
      <c r="N76">
        <v>753.24612119283336</v>
      </c>
      <c r="O76" s="312">
        <v>769.03878631006694</v>
      </c>
    </row>
    <row r="77" spans="3:15">
      <c r="G77" s="528"/>
      <c r="H77" s="307">
        <v>-0.05</v>
      </c>
      <c r="I77">
        <v>743.86998641734033</v>
      </c>
      <c r="J77">
        <v>758.28794286009702</v>
      </c>
      <c r="K77">
        <v>773.54676926540139</v>
      </c>
      <c r="L77">
        <v>789.72223572182202</v>
      </c>
      <c r="M77">
        <v>806.89949765868153</v>
      </c>
      <c r="N77">
        <v>825.17459543946336</v>
      </c>
      <c r="O77" s="312">
        <v>844.65625097349721</v>
      </c>
    </row>
    <row r="78" spans="3:15">
      <c r="G78" s="528"/>
      <c r="H78" s="307">
        <v>-0.1</v>
      </c>
      <c r="I78">
        <v>811.12824529932038</v>
      </c>
      <c r="J78">
        <v>828.71935879828891</v>
      </c>
      <c r="K78">
        <v>847.42779193236595</v>
      </c>
      <c r="L78">
        <v>867.36348803593705</v>
      </c>
      <c r="M78">
        <v>888.65130405069306</v>
      </c>
      <c r="N78">
        <v>911.43362804462538</v>
      </c>
      <c r="O78" s="312">
        <v>935.87356807415608</v>
      </c>
    </row>
    <row r="79" spans="3:15" ht="16" thickBot="1">
      <c r="G79" s="529"/>
      <c r="H79" s="313">
        <v>-0.15</v>
      </c>
      <c r="I79" s="314">
        <v>890.86573080975541</v>
      </c>
      <c r="J79" s="314">
        <v>912.64540691181139</v>
      </c>
      <c r="K79" s="314">
        <v>935.94372117318665</v>
      </c>
      <c r="L79" s="314">
        <v>960.92524704925791</v>
      </c>
      <c r="M79" s="314">
        <v>987.77922874820695</v>
      </c>
      <c r="N79" s="314">
        <v>1016.7243841341538</v>
      </c>
      <c r="O79" s="315">
        <v>1048.0148751230379</v>
      </c>
    </row>
    <row r="82" spans="7:15" ht="16" thickBot="1"/>
    <row r="83" spans="7:15">
      <c r="G83" s="309"/>
      <c r="H83" s="530" t="s">
        <v>400</v>
      </c>
      <c r="I83" s="531"/>
      <c r="J83" s="531"/>
      <c r="K83" s="531"/>
      <c r="L83" s="531"/>
      <c r="M83" s="531"/>
      <c r="N83" s="531"/>
      <c r="O83" s="532"/>
    </row>
    <row r="84" spans="7:15">
      <c r="G84" s="320"/>
      <c r="H84" s="533"/>
      <c r="I84" s="533"/>
      <c r="J84" s="533"/>
      <c r="K84" s="533"/>
      <c r="L84" s="533"/>
      <c r="M84" s="533"/>
      <c r="N84" s="533"/>
      <c r="O84" s="534"/>
    </row>
    <row r="85" spans="7:15">
      <c r="G85" s="320"/>
      <c r="H85" s="526" t="s">
        <v>398</v>
      </c>
      <c r="I85" s="526"/>
      <c r="J85" s="526"/>
      <c r="K85" s="526"/>
      <c r="L85" s="526"/>
      <c r="M85" s="526"/>
      <c r="N85" s="526"/>
      <c r="O85" s="527"/>
    </row>
    <row r="86" spans="7:15">
      <c r="G86" s="528" t="s">
        <v>399</v>
      </c>
      <c r="H86" s="308">
        <f>D76</f>
        <v>724.28576743602366</v>
      </c>
      <c r="I86" s="306">
        <v>-0.15</v>
      </c>
      <c r="J86" s="306">
        <v>-0.1</v>
      </c>
      <c r="K86" s="306">
        <v>-0.05</v>
      </c>
      <c r="L86" s="306">
        <v>0</v>
      </c>
      <c r="M86" s="306">
        <v>0.05</v>
      </c>
      <c r="N86" s="306">
        <v>0.1</v>
      </c>
      <c r="O86" s="311">
        <v>0.15</v>
      </c>
    </row>
    <row r="87" spans="7:15">
      <c r="G87" s="528"/>
      <c r="H87" s="307">
        <v>0.15</v>
      </c>
      <c r="I87">
        <f t="dataTable" ref="I87:O93" dt2D="1" dtr="1" r1="Q4" r2="Q7" ca="1"/>
        <v>192.64738461879153</v>
      </c>
      <c r="J87">
        <v>302.98719534634319</v>
      </c>
      <c r="K87">
        <v>413.32700607389415</v>
      </c>
      <c r="L87">
        <v>523.66681680144586</v>
      </c>
      <c r="M87">
        <v>634.00662752899746</v>
      </c>
      <c r="N87">
        <v>744.34643825654859</v>
      </c>
      <c r="O87" s="312">
        <v>854.68624898409962</v>
      </c>
    </row>
    <row r="88" spans="7:15">
      <c r="G88" s="528"/>
      <c r="H88" s="307">
        <v>0.1</v>
      </c>
      <c r="I88">
        <v>259.52036816365069</v>
      </c>
      <c r="J88">
        <v>369.86017889120234</v>
      </c>
      <c r="K88">
        <v>480.19998961875325</v>
      </c>
      <c r="L88">
        <v>590.5398003463049</v>
      </c>
      <c r="M88">
        <v>700.87961107385638</v>
      </c>
      <c r="N88">
        <v>811.21942180140786</v>
      </c>
      <c r="O88" s="312">
        <v>921.55923252895866</v>
      </c>
    </row>
    <row r="89" spans="7:15">
      <c r="G89" s="528"/>
      <c r="H89" s="307">
        <v>0.05</v>
      </c>
      <c r="I89">
        <v>326.39335170851012</v>
      </c>
      <c r="J89">
        <v>436.7331624360616</v>
      </c>
      <c r="K89">
        <v>547.0729731636128</v>
      </c>
      <c r="L89">
        <v>657.41278389116417</v>
      </c>
      <c r="M89">
        <v>767.75259461871576</v>
      </c>
      <c r="N89">
        <v>878.09240534626701</v>
      </c>
      <c r="O89" s="312">
        <v>988.43221607381815</v>
      </c>
    </row>
    <row r="90" spans="7:15">
      <c r="G90" s="528"/>
      <c r="H90" s="307">
        <v>0</v>
      </c>
      <c r="I90">
        <v>393.26633525336939</v>
      </c>
      <c r="J90">
        <v>503.60614598092104</v>
      </c>
      <c r="K90">
        <v>613.94595670847207</v>
      </c>
      <c r="L90">
        <v>724.28576743602366</v>
      </c>
      <c r="M90">
        <v>834.62557816357514</v>
      </c>
      <c r="N90">
        <v>944.96538889112651</v>
      </c>
      <c r="O90" s="312">
        <v>1055.3051996186773</v>
      </c>
    </row>
    <row r="91" spans="7:15">
      <c r="G91" s="528"/>
      <c r="H91" s="307">
        <v>-0.05</v>
      </c>
      <c r="I91">
        <v>460.13931879822883</v>
      </c>
      <c r="J91">
        <v>570.47912952578042</v>
      </c>
      <c r="K91">
        <v>680.81894025333133</v>
      </c>
      <c r="L91">
        <v>791.15875098088293</v>
      </c>
      <c r="M91">
        <v>901.49856170843464</v>
      </c>
      <c r="N91">
        <v>1011.838372435986</v>
      </c>
      <c r="O91" s="312">
        <v>1122.1781831635369</v>
      </c>
    </row>
    <row r="92" spans="7:15">
      <c r="G92" s="528"/>
      <c r="H92" s="307">
        <v>-0.1</v>
      </c>
      <c r="I92">
        <v>527.01230234308798</v>
      </c>
      <c r="J92">
        <v>637.35211307063958</v>
      </c>
      <c r="K92">
        <v>747.6919237981906</v>
      </c>
      <c r="L92">
        <v>858.03173452574208</v>
      </c>
      <c r="M92">
        <v>968.37154525329402</v>
      </c>
      <c r="N92">
        <v>1078.7113559808452</v>
      </c>
      <c r="O92" s="312">
        <v>1189.0511667083961</v>
      </c>
    </row>
    <row r="93" spans="7:15" ht="16" thickBot="1">
      <c r="G93" s="529"/>
      <c r="H93" s="313">
        <v>-0.15</v>
      </c>
      <c r="I93" s="314">
        <v>593.88528588794748</v>
      </c>
      <c r="J93" s="314">
        <v>704.22509661549884</v>
      </c>
      <c r="K93" s="314">
        <v>814.56490734304987</v>
      </c>
      <c r="L93" s="314">
        <v>924.90471807060158</v>
      </c>
      <c r="M93" s="314">
        <v>1035.2445287981534</v>
      </c>
      <c r="N93" s="314">
        <v>1145.5843395257045</v>
      </c>
      <c r="O93" s="315">
        <v>1255.9241502532554</v>
      </c>
    </row>
  </sheetData>
  <mergeCells count="8">
    <mergeCell ref="H69:O70"/>
    <mergeCell ref="D30:M30"/>
    <mergeCell ref="D3:M3"/>
    <mergeCell ref="H85:O85"/>
    <mergeCell ref="G86:G93"/>
    <mergeCell ref="H83:O84"/>
    <mergeCell ref="G72:G79"/>
    <mergeCell ref="H71:O71"/>
  </mergeCells>
  <conditionalFormatting sqref="I73:O79">
    <cfRule type="colorScale" priority="2">
      <colorScale>
        <cfvo type="min"/>
        <cfvo type="percentile" val="50"/>
        <cfvo type="max"/>
        <color rgb="FFF8696B"/>
        <color rgb="FFFFEB84"/>
        <color rgb="FF63BE7B"/>
      </colorScale>
    </cfRule>
  </conditionalFormatting>
  <conditionalFormatting sqref="I87:O93">
    <cfRule type="colorScale" priority="1">
      <colorScale>
        <cfvo type="min"/>
        <cfvo type="percentile" val="50"/>
        <cfvo type="max"/>
        <color rgb="FFF8696B"/>
        <color rgb="FFFFEB84"/>
        <color rgb="FF63BE7B"/>
      </colorScale>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FDA1-A81B-4545-903A-9C5DB3CC89A4}">
  <sheetPr>
    <tabColor theme="4"/>
  </sheetPr>
  <dimension ref="B6:N26"/>
  <sheetViews>
    <sheetView workbookViewId="0">
      <selection activeCell="E33" sqref="E33"/>
    </sheetView>
  </sheetViews>
  <sheetFormatPr baseColWidth="10" defaultColWidth="11.5" defaultRowHeight="15"/>
  <cols>
    <col min="3" max="3" width="29.5" bestFit="1" customWidth="1"/>
    <col min="5" max="5" width="12" bestFit="1" customWidth="1"/>
    <col min="10" max="10" width="13.1640625" bestFit="1" customWidth="1"/>
  </cols>
  <sheetData>
    <row r="6" spans="3:14" ht="16" thickBot="1"/>
    <row r="7" spans="3:14">
      <c r="C7" s="120" t="s">
        <v>383</v>
      </c>
      <c r="D7" s="121"/>
      <c r="E7" s="122">
        <v>2030</v>
      </c>
    </row>
    <row r="8" spans="3:14">
      <c r="C8" s="123" t="s">
        <v>179</v>
      </c>
      <c r="D8" s="124"/>
      <c r="E8" s="125"/>
    </row>
    <row r="9" spans="3:14">
      <c r="C9" s="123" t="s">
        <v>180</v>
      </c>
      <c r="D9" s="124"/>
      <c r="E9" s="126">
        <f>'DCF Model'!H9</f>
        <v>18600.561660427451</v>
      </c>
    </row>
    <row r="10" spans="3:14">
      <c r="C10" s="123" t="s">
        <v>181</v>
      </c>
      <c r="D10" s="124"/>
      <c r="E10" s="126">
        <f>'Cash Flow'!J79</f>
        <v>4246.9794524460876</v>
      </c>
    </row>
    <row r="11" spans="3:14">
      <c r="C11" s="123" t="s">
        <v>182</v>
      </c>
      <c r="D11" s="124"/>
      <c r="E11" s="126">
        <f>'Cost Analysis'!K32</f>
        <v>1831.6091043002891</v>
      </c>
    </row>
    <row r="12" spans="3:14">
      <c r="C12" s="123" t="s">
        <v>183</v>
      </c>
      <c r="D12" s="124"/>
      <c r="E12" s="127">
        <f>E10-E11</f>
        <v>2415.3703481457987</v>
      </c>
    </row>
    <row r="13" spans="3:14">
      <c r="C13" s="123" t="s">
        <v>184</v>
      </c>
      <c r="D13" s="124"/>
      <c r="E13" s="128">
        <f>'Pro Forma Financial Statement'!G29</f>
        <v>1634.7036504382195</v>
      </c>
    </row>
    <row r="14" spans="3:14">
      <c r="C14" s="129" t="s">
        <v>185</v>
      </c>
      <c r="D14" s="119"/>
      <c r="E14" s="130">
        <f>E12+E13</f>
        <v>4050.0739985840182</v>
      </c>
    </row>
    <row r="15" spans="3:14">
      <c r="C15" s="123"/>
      <c r="D15" s="124"/>
      <c r="E15" s="125"/>
      <c r="K15">
        <v>2015</v>
      </c>
      <c r="L15">
        <v>2025</v>
      </c>
    </row>
    <row r="16" spans="3:14">
      <c r="C16" s="131" t="s">
        <v>186</v>
      </c>
      <c r="D16" s="132"/>
      <c r="E16" s="133">
        <f>(E10-E11+E13)/E9</f>
        <v>0.21773933887171368</v>
      </c>
      <c r="J16" t="s">
        <v>187</v>
      </c>
      <c r="K16" s="3">
        <v>8162.0889999999999</v>
      </c>
      <c r="L16" s="4">
        <f>'Balance Sheet'!E45+'Balance Sheet'!E43+'Balance Sheet'!E59-'Balance Sheet'!E24</f>
        <v>15659.900000000001</v>
      </c>
      <c r="N16">
        <f>(L16-K16)/(L17-K17)</f>
        <v>0.99132892873544975</v>
      </c>
    </row>
    <row r="17" spans="2:12">
      <c r="C17" s="123"/>
      <c r="D17" s="124"/>
      <c r="E17" s="125"/>
      <c r="J17" t="s">
        <v>180</v>
      </c>
      <c r="K17">
        <v>1380.674274</v>
      </c>
      <c r="L17" s="5">
        <f>'Statement of Profit or Loss'!F22</f>
        <v>8944.0679999999993</v>
      </c>
    </row>
    <row r="18" spans="2:12">
      <c r="C18" s="123" t="s">
        <v>188</v>
      </c>
      <c r="D18" s="124"/>
      <c r="E18" s="134">
        <v>0.26550000000000001</v>
      </c>
    </row>
    <row r="19" spans="2:12">
      <c r="C19" s="123" t="s">
        <v>189</v>
      </c>
      <c r="D19" s="124"/>
      <c r="E19" s="135">
        <f>'DCF Model'!O7</f>
        <v>8.5549211698704067E-2</v>
      </c>
    </row>
    <row r="20" spans="2:12" ht="18">
      <c r="C20" s="123"/>
      <c r="D20" s="124"/>
      <c r="E20" s="125"/>
      <c r="K20" s="112"/>
    </row>
    <row r="21" spans="2:12" ht="18">
      <c r="C21" s="131" t="s">
        <v>190</v>
      </c>
      <c r="D21" s="132"/>
      <c r="E21" s="136">
        <v>0.14000000000000001</v>
      </c>
      <c r="L21" s="112"/>
    </row>
    <row r="22" spans="2:12">
      <c r="B22" s="99"/>
      <c r="C22" s="123"/>
      <c r="D22" s="124"/>
      <c r="E22" s="125"/>
      <c r="F22" s="99"/>
    </row>
    <row r="23" spans="2:12" ht="16" thickBot="1">
      <c r="B23" s="99"/>
      <c r="C23" s="137" t="s">
        <v>191</v>
      </c>
      <c r="D23" s="138"/>
      <c r="E23" s="139">
        <f>E21*E16</f>
        <v>3.0483507442039919E-2</v>
      </c>
      <c r="F23" s="99"/>
    </row>
    <row r="24" spans="2:12">
      <c r="B24" s="99"/>
      <c r="C24" s="99"/>
      <c r="D24" s="99"/>
      <c r="E24" s="99"/>
      <c r="F24" s="99"/>
    </row>
    <row r="25" spans="2:12">
      <c r="B25" s="99"/>
      <c r="C25" s="99"/>
      <c r="D25" s="99"/>
      <c r="E25" s="99"/>
      <c r="F25" s="99"/>
    </row>
    <row r="26" spans="2:12">
      <c r="B26" s="99"/>
      <c r="C26" s="99"/>
      <c r="D26" s="99"/>
      <c r="E26" s="99"/>
      <c r="F26" s="99"/>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7E07-DADC-664F-BB0B-ED7FE1C6EC3C}">
  <sheetPr>
    <tabColor theme="4"/>
  </sheetPr>
  <dimension ref="A2:K58"/>
  <sheetViews>
    <sheetView zoomScale="75" zoomScaleNormal="64" workbookViewId="0">
      <selection activeCell="F33" sqref="F33"/>
    </sheetView>
  </sheetViews>
  <sheetFormatPr baseColWidth="10" defaultColWidth="10.6640625" defaultRowHeight="16"/>
  <cols>
    <col min="1" max="1" width="17.1640625" style="107" customWidth="1"/>
    <col min="2" max="2" width="44.6640625" style="107" bestFit="1" customWidth="1"/>
    <col min="3" max="8" width="16.6640625" style="107" customWidth="1"/>
    <col min="9" max="9" width="25.5" style="107" customWidth="1"/>
    <col min="10" max="15" width="16.6640625" style="107" customWidth="1"/>
    <col min="16" max="16384" width="10.6640625" style="107"/>
  </cols>
  <sheetData>
    <row r="2" spans="1:11">
      <c r="A2" s="332"/>
      <c r="C2" s="338"/>
      <c r="D2" s="338"/>
      <c r="E2" s="338"/>
      <c r="F2" s="338"/>
      <c r="G2" s="338"/>
      <c r="H2" s="338"/>
      <c r="I2" s="338"/>
      <c r="J2" s="338"/>
      <c r="K2" s="338"/>
    </row>
    <row r="3" spans="1:11" ht="17" thickBot="1">
      <c r="A3" s="109"/>
      <c r="B3" s="338"/>
      <c r="C3" s="339"/>
      <c r="D3" s="338"/>
      <c r="E3" s="338"/>
      <c r="F3" s="338"/>
      <c r="G3" s="338"/>
      <c r="H3" s="338"/>
      <c r="I3" s="338"/>
      <c r="J3" s="338"/>
      <c r="K3" s="338"/>
    </row>
    <row r="4" spans="1:11" ht="21">
      <c r="B4" s="350" t="s">
        <v>192</v>
      </c>
      <c r="C4" s="351"/>
      <c r="D4" s="351"/>
      <c r="E4" s="351"/>
      <c r="F4" s="351"/>
      <c r="G4" s="351"/>
      <c r="H4" s="351"/>
      <c r="I4" s="351"/>
      <c r="J4" s="351"/>
      <c r="K4" s="352"/>
    </row>
    <row r="5" spans="1:11" ht="17">
      <c r="B5" s="353" t="s">
        <v>408</v>
      </c>
      <c r="C5" s="354"/>
      <c r="D5" s="354"/>
      <c r="E5" s="354"/>
      <c r="F5" s="354"/>
      <c r="G5" s="354"/>
      <c r="H5" s="354"/>
      <c r="I5" s="354"/>
      <c r="J5" s="354"/>
      <c r="K5" s="355"/>
    </row>
    <row r="6" spans="1:11">
      <c r="B6" s="356" t="s">
        <v>402</v>
      </c>
      <c r="C6" s="354"/>
      <c r="D6" s="354"/>
      <c r="E6" s="354"/>
      <c r="F6" s="354"/>
      <c r="G6" s="354"/>
      <c r="H6" s="354"/>
      <c r="I6" s="354"/>
      <c r="J6" s="354"/>
      <c r="K6" s="355"/>
    </row>
    <row r="7" spans="1:11" ht="34">
      <c r="B7" s="357" t="s">
        <v>403</v>
      </c>
      <c r="C7" s="358" t="s">
        <v>193</v>
      </c>
      <c r="D7" s="358" t="s">
        <v>194</v>
      </c>
      <c r="E7" s="358" t="s">
        <v>195</v>
      </c>
      <c r="F7" s="358" t="s">
        <v>196</v>
      </c>
      <c r="G7" s="358" t="s">
        <v>197</v>
      </c>
      <c r="H7" s="358" t="s">
        <v>198</v>
      </c>
      <c r="I7" s="358" t="s">
        <v>199</v>
      </c>
      <c r="J7" s="359" t="s">
        <v>405</v>
      </c>
      <c r="K7" s="360">
        <v>46161</v>
      </c>
    </row>
    <row r="8" spans="1:11">
      <c r="B8" s="356" t="s">
        <v>200</v>
      </c>
      <c r="C8" s="361">
        <f>328210</f>
        <v>328210</v>
      </c>
      <c r="D8" s="361">
        <f>326430</f>
        <v>326430</v>
      </c>
      <c r="E8" s="361">
        <f>11147</f>
        <v>11147</v>
      </c>
      <c r="F8" s="361">
        <f>8508</f>
        <v>8508</v>
      </c>
      <c r="G8" s="362">
        <f>D8/E8</f>
        <v>29.284112317215396</v>
      </c>
      <c r="H8" s="362">
        <f>C8/F8</f>
        <v>38.576633756464503</v>
      </c>
      <c r="I8" s="363" t="s">
        <v>201</v>
      </c>
      <c r="J8" s="363" t="s">
        <v>202</v>
      </c>
      <c r="K8" s="364">
        <v>1.1619999999999999</v>
      </c>
    </row>
    <row r="9" spans="1:11">
      <c r="B9" s="356" t="s">
        <v>203</v>
      </c>
      <c r="C9" s="361">
        <f>367730</f>
        <v>367730</v>
      </c>
      <c r="D9" s="361">
        <f>366710</f>
        <v>366710</v>
      </c>
      <c r="E9" s="361">
        <f>8072.097</f>
        <v>8072.0969999999998</v>
      </c>
      <c r="F9" s="361">
        <f>6708.202</f>
        <v>6708.2020000000002</v>
      </c>
      <c r="G9" s="362">
        <f>D9/E9</f>
        <v>45.429335152934861</v>
      </c>
      <c r="H9" s="362">
        <f>C9/F9</f>
        <v>54.817967616359795</v>
      </c>
      <c r="I9" s="363" t="s">
        <v>201</v>
      </c>
      <c r="J9" s="363" t="s">
        <v>204</v>
      </c>
      <c r="K9" s="364">
        <v>184.89</v>
      </c>
    </row>
    <row r="10" spans="1:11">
      <c r="B10" s="356" t="s">
        <v>205</v>
      </c>
      <c r="C10" s="361">
        <f>23860000</f>
        <v>23860000</v>
      </c>
      <c r="D10" s="361">
        <f>23350000</f>
        <v>23350000</v>
      </c>
      <c r="E10" s="361">
        <f>706282</f>
        <v>706282</v>
      </c>
      <c r="F10" s="361">
        <f>574454</f>
        <v>574454</v>
      </c>
      <c r="G10" s="362">
        <f>D10/E10</f>
        <v>33.060448942490396</v>
      </c>
      <c r="H10" s="362">
        <f>C10/F10</f>
        <v>41.53509245300755</v>
      </c>
      <c r="I10" s="363" t="s">
        <v>206</v>
      </c>
      <c r="J10" s="363"/>
      <c r="K10" s="364"/>
    </row>
    <row r="11" spans="1:11">
      <c r="B11" s="356" t="s">
        <v>207</v>
      </c>
      <c r="C11" s="361">
        <f>244170</f>
        <v>244170</v>
      </c>
      <c r="D11" s="361">
        <f>245360</f>
        <v>245360</v>
      </c>
      <c r="E11" s="361">
        <f>6061.254</f>
        <v>6061.2539999999999</v>
      </c>
      <c r="F11" s="361">
        <f>4670.561</f>
        <v>4670.5609999999997</v>
      </c>
      <c r="G11" s="362">
        <f>D11/E11</f>
        <v>40.480072275473027</v>
      </c>
      <c r="H11" s="362">
        <f>C11/F11</f>
        <v>52.278516435177707</v>
      </c>
      <c r="I11" s="363" t="s">
        <v>201</v>
      </c>
      <c r="J11" s="363"/>
      <c r="K11" s="364"/>
    </row>
    <row r="12" spans="1:11">
      <c r="B12" s="365" t="s">
        <v>208</v>
      </c>
      <c r="C12" s="341">
        <f>13520</f>
        <v>13520</v>
      </c>
      <c r="D12" s="341">
        <f>12900</f>
        <v>12900</v>
      </c>
      <c r="E12" s="341">
        <f>225.54</f>
        <v>225.54</v>
      </c>
      <c r="F12" s="341">
        <f>106.414</f>
        <v>106.414</v>
      </c>
      <c r="G12" s="342">
        <f>D12/E12</f>
        <v>57.196062782654963</v>
      </c>
      <c r="H12" s="342">
        <f>C12/F12</f>
        <v>127.05095194241359</v>
      </c>
      <c r="I12" s="343" t="s">
        <v>201</v>
      </c>
      <c r="J12" s="366" t="s">
        <v>209</v>
      </c>
      <c r="K12" s="364"/>
    </row>
    <row r="13" spans="1:11">
      <c r="B13" s="356"/>
      <c r="C13" s="363"/>
      <c r="D13" s="363"/>
      <c r="E13" s="363"/>
      <c r="F13" s="363"/>
      <c r="G13" s="363"/>
      <c r="H13" s="363"/>
      <c r="I13" s="363"/>
      <c r="J13" s="363"/>
      <c r="K13" s="364"/>
    </row>
    <row r="14" spans="1:11">
      <c r="B14" s="367" t="s">
        <v>210</v>
      </c>
      <c r="C14" s="363"/>
      <c r="D14" s="363"/>
      <c r="E14" s="363"/>
      <c r="F14" s="363"/>
      <c r="G14" s="340">
        <f>AVERAGE(G8:G11)</f>
        <v>37.063492172028418</v>
      </c>
      <c r="H14" s="340">
        <f>AVERAGE(H8:H11)</f>
        <v>46.802052565252396</v>
      </c>
      <c r="I14" s="363"/>
      <c r="J14" s="363"/>
      <c r="K14" s="364"/>
    </row>
    <row r="15" spans="1:11" ht="17" thickBot="1">
      <c r="B15" s="368" t="s">
        <v>211</v>
      </c>
      <c r="C15" s="369"/>
      <c r="D15" s="369"/>
      <c r="E15" s="369"/>
      <c r="F15" s="369"/>
      <c r="G15" s="370">
        <f>MEDIAN(G8:G11)</f>
        <v>36.770260608981715</v>
      </c>
      <c r="H15" s="370">
        <f>MEDIAN(H8:H11)</f>
        <v>46.906804444092629</v>
      </c>
      <c r="I15" s="369"/>
      <c r="J15" s="369"/>
      <c r="K15" s="371"/>
    </row>
    <row r="18" spans="2:6" ht="17" thickBot="1"/>
    <row r="19" spans="2:6" ht="17">
      <c r="B19" s="372" t="s">
        <v>409</v>
      </c>
      <c r="C19" s="373"/>
      <c r="D19" s="374"/>
      <c r="E19" s="108"/>
    </row>
    <row r="20" spans="2:6">
      <c r="B20" s="356" t="s">
        <v>1</v>
      </c>
      <c r="C20" s="375">
        <v>11944.3</v>
      </c>
      <c r="D20" s="376" t="s">
        <v>212</v>
      </c>
    </row>
    <row r="21" spans="2:6">
      <c r="B21" s="356" t="s">
        <v>2</v>
      </c>
      <c r="C21" s="375">
        <v>10011.1</v>
      </c>
      <c r="D21" s="376" t="s">
        <v>213</v>
      </c>
    </row>
    <row r="22" spans="2:6">
      <c r="B22" s="356"/>
      <c r="C22" s="375"/>
      <c r="D22" s="376"/>
    </row>
    <row r="23" spans="2:6">
      <c r="B23" s="356" t="s">
        <v>214</v>
      </c>
      <c r="C23" s="375">
        <v>4390.8999999999996</v>
      </c>
      <c r="D23" s="376" t="s">
        <v>212</v>
      </c>
      <c r="F23" s="333"/>
    </row>
    <row r="24" spans="2:6">
      <c r="B24" s="356" t="s">
        <v>215</v>
      </c>
      <c r="C24" s="375">
        <v>13321.9</v>
      </c>
      <c r="D24" s="376" t="s">
        <v>213</v>
      </c>
    </row>
    <row r="25" spans="2:6">
      <c r="B25" s="356"/>
      <c r="C25" s="377"/>
      <c r="D25" s="364"/>
    </row>
    <row r="26" spans="2:6" ht="17" thickBot="1">
      <c r="B26" s="378" t="s">
        <v>216</v>
      </c>
      <c r="C26" s="379">
        <v>385.42</v>
      </c>
      <c r="D26" s="380" t="s">
        <v>217</v>
      </c>
    </row>
    <row r="28" spans="2:6" ht="17" thickBot="1"/>
    <row r="29" spans="2:6" ht="17">
      <c r="B29" s="372" t="s">
        <v>410</v>
      </c>
      <c r="C29" s="351"/>
      <c r="D29" s="352"/>
    </row>
    <row r="30" spans="2:6">
      <c r="B30" s="381"/>
      <c r="C30" s="358" t="s">
        <v>197</v>
      </c>
      <c r="D30" s="382" t="s">
        <v>198</v>
      </c>
    </row>
    <row r="31" spans="2:6">
      <c r="B31" s="356" t="s">
        <v>218</v>
      </c>
      <c r="C31" s="383">
        <f>G15</f>
        <v>36.770260608981715</v>
      </c>
      <c r="D31" s="384">
        <f>H15</f>
        <v>46.906804444092629</v>
      </c>
    </row>
    <row r="32" spans="2:6">
      <c r="B32" s="356" t="s">
        <v>219</v>
      </c>
      <c r="C32" s="385">
        <f>C20</f>
        <v>11944.3</v>
      </c>
      <c r="D32" s="386">
        <f>C21</f>
        <v>10011.1</v>
      </c>
    </row>
    <row r="33" spans="2:4">
      <c r="B33" s="387" t="s">
        <v>220</v>
      </c>
      <c r="C33" s="344">
        <f>C31*C32</f>
        <v>439195.02379186027</v>
      </c>
      <c r="D33" s="388">
        <f>D31*D32</f>
        <v>469588.70997025573</v>
      </c>
    </row>
    <row r="34" spans="2:4">
      <c r="B34" s="389" t="s">
        <v>221</v>
      </c>
      <c r="C34" s="390" t="s">
        <v>222</v>
      </c>
      <c r="D34" s="391" t="s">
        <v>223</v>
      </c>
    </row>
    <row r="35" spans="2:4">
      <c r="B35" s="356"/>
      <c r="C35" s="363"/>
      <c r="D35" s="364"/>
    </row>
    <row r="36" spans="2:4">
      <c r="B36" s="381" t="s">
        <v>224</v>
      </c>
      <c r="C36" s="363"/>
      <c r="D36" s="364"/>
    </row>
    <row r="37" spans="2:4">
      <c r="B37" s="356" t="s">
        <v>225</v>
      </c>
      <c r="C37" s="385">
        <f>C33</f>
        <v>439195.02379186027</v>
      </c>
      <c r="D37" s="386">
        <f>D33</f>
        <v>469588.70997025573</v>
      </c>
    </row>
    <row r="38" spans="2:4">
      <c r="B38" s="356" t="s">
        <v>226</v>
      </c>
      <c r="C38" s="385">
        <f>C23</f>
        <v>4390.8999999999996</v>
      </c>
      <c r="D38" s="386"/>
    </row>
    <row r="39" spans="2:4">
      <c r="B39" s="356" t="s">
        <v>227</v>
      </c>
      <c r="C39" s="385">
        <f>C24</f>
        <v>13321.9</v>
      </c>
      <c r="D39" s="386"/>
    </row>
    <row r="40" spans="2:4" ht="17" thickBot="1">
      <c r="B40" s="392" t="s">
        <v>228</v>
      </c>
      <c r="C40" s="345">
        <f>C37-C38+C39</f>
        <v>448126.02379186027</v>
      </c>
      <c r="D40" s="393">
        <f>D33</f>
        <v>469588.70997025573</v>
      </c>
    </row>
    <row r="41" spans="2:4" ht="18" thickTop="1" thickBot="1">
      <c r="B41" s="394" t="s">
        <v>229</v>
      </c>
      <c r="C41" s="346">
        <f>C40/$C$26</f>
        <v>1162.6953032843658</v>
      </c>
      <c r="D41" s="395">
        <f>D40/$C$26</f>
        <v>1218.381791215442</v>
      </c>
    </row>
    <row r="42" spans="2:4" ht="17" thickTop="1">
      <c r="B42" s="356"/>
      <c r="C42" s="363"/>
      <c r="D42" s="364"/>
    </row>
    <row r="43" spans="2:4">
      <c r="B43" s="381" t="s">
        <v>230</v>
      </c>
      <c r="C43" s="396">
        <v>0.5</v>
      </c>
      <c r="D43" s="397">
        <v>0.5</v>
      </c>
    </row>
    <row r="44" spans="2:4" ht="17" thickBot="1">
      <c r="B44" s="356"/>
      <c r="C44" s="363"/>
      <c r="D44" s="364"/>
    </row>
    <row r="45" spans="2:4">
      <c r="B45" s="356"/>
      <c r="C45" s="347" t="s">
        <v>413</v>
      </c>
      <c r="D45" s="398" t="s">
        <v>231</v>
      </c>
    </row>
    <row r="46" spans="2:4">
      <c r="B46" s="399" t="s">
        <v>411</v>
      </c>
      <c r="C46" s="348">
        <f>SUMPRODUCT(C40:D40,C43:D43)</f>
        <v>458857.36688105797</v>
      </c>
      <c r="D46" s="400">
        <f>C46*K8</f>
        <v>533192.26031578938</v>
      </c>
    </row>
    <row r="47" spans="2:4" ht="17" thickBot="1">
      <c r="B47" s="401" t="s">
        <v>412</v>
      </c>
      <c r="C47" s="349">
        <f>SUMPRODUCT(C41:D41,C43:D43)</f>
        <v>1190.5385472499038</v>
      </c>
      <c r="D47" s="402">
        <f>C47*K8</f>
        <v>1383.405791904388</v>
      </c>
    </row>
    <row r="49" spans="2:7">
      <c r="B49" s="407"/>
      <c r="C49" s="408"/>
    </row>
    <row r="53" spans="2:7">
      <c r="B53" s="111"/>
      <c r="G53" s="113"/>
    </row>
    <row r="54" spans="2:7">
      <c r="B54" s="111"/>
    </row>
    <row r="55" spans="2:7">
      <c r="B55" s="111"/>
    </row>
    <row r="56" spans="2:7">
      <c r="B56" s="111"/>
    </row>
    <row r="57" spans="2:7">
      <c r="B57" s="111"/>
    </row>
    <row r="58" spans="2:7">
      <c r="B58" s="111"/>
    </row>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EC7D-6FA8-2D46-BAD5-E7B55AC03199}">
  <sheetPr>
    <tabColor theme="4"/>
  </sheetPr>
  <dimension ref="B1:S91"/>
  <sheetViews>
    <sheetView zoomScale="86" zoomScaleNormal="47" workbookViewId="0">
      <selection activeCell="B2" sqref="B2"/>
    </sheetView>
  </sheetViews>
  <sheetFormatPr baseColWidth="10" defaultColWidth="11.5" defaultRowHeight="15"/>
  <cols>
    <col min="2" max="2" width="26" bestFit="1" customWidth="1"/>
    <col min="3" max="3" width="13" customWidth="1"/>
    <col min="4" max="4" width="13.6640625" customWidth="1"/>
    <col min="5" max="5" width="14" customWidth="1"/>
    <col min="6" max="6" width="29.33203125" customWidth="1"/>
    <col min="7" max="7" width="16.5" customWidth="1"/>
    <col min="8" max="8" width="12.83203125" customWidth="1"/>
    <col min="9" max="11" width="12.83203125" bestFit="1" customWidth="1"/>
    <col min="12" max="12" width="13" customWidth="1"/>
    <col min="13" max="13" width="13.33203125" customWidth="1"/>
    <col min="14" max="14" width="14" customWidth="1"/>
    <col min="15" max="15" width="14.1640625" customWidth="1"/>
    <col min="16" max="16" width="14.5" customWidth="1"/>
    <col min="17" max="17" width="18.83203125" customWidth="1"/>
    <col min="18" max="18" width="14" customWidth="1"/>
    <col min="19" max="19" width="40.5" customWidth="1"/>
  </cols>
  <sheetData>
    <row r="1" spans="2:18" ht="16" thickBot="1">
      <c r="B1" s="61" t="s">
        <v>292</v>
      </c>
    </row>
    <row r="2" spans="2:18">
      <c r="B2" s="149" t="s">
        <v>3</v>
      </c>
      <c r="C2" s="522" t="s">
        <v>385</v>
      </c>
      <c r="D2" s="522"/>
      <c r="E2" s="522"/>
      <c r="F2" s="535"/>
      <c r="G2" s="522" t="s">
        <v>233</v>
      </c>
      <c r="H2" s="522"/>
      <c r="I2" s="522"/>
      <c r="J2" s="522"/>
      <c r="K2" s="522"/>
      <c r="L2" s="522"/>
      <c r="M2" s="522"/>
      <c r="N2" s="522"/>
      <c r="O2" s="522"/>
      <c r="P2" s="523"/>
      <c r="R2" s="193" t="s">
        <v>395</v>
      </c>
    </row>
    <row r="3" spans="2:18" ht="16" thickBot="1">
      <c r="B3" s="151"/>
      <c r="C3" s="195">
        <v>2022</v>
      </c>
      <c r="D3" s="195">
        <v>2023</v>
      </c>
      <c r="E3" s="195">
        <v>2024</v>
      </c>
      <c r="F3" s="221">
        <v>2025</v>
      </c>
      <c r="G3" s="195" t="s">
        <v>105</v>
      </c>
      <c r="H3" s="195" t="s">
        <v>106</v>
      </c>
      <c r="I3" s="195" t="s">
        <v>107</v>
      </c>
      <c r="J3" s="195" t="s">
        <v>108</v>
      </c>
      <c r="K3" s="195" t="s">
        <v>109</v>
      </c>
      <c r="L3" s="196" t="s">
        <v>374</v>
      </c>
      <c r="M3" s="196" t="s">
        <v>375</v>
      </c>
      <c r="N3" s="196" t="s">
        <v>376</v>
      </c>
      <c r="O3" s="196" t="s">
        <v>377</v>
      </c>
      <c r="P3" s="197" t="s">
        <v>378</v>
      </c>
      <c r="Q3" s="82"/>
      <c r="R3" s="318"/>
    </row>
    <row r="4" spans="2:18">
      <c r="B4" s="151" t="s">
        <v>293</v>
      </c>
      <c r="C4" s="152">
        <v>15430.3</v>
      </c>
      <c r="D4" s="152">
        <v>21938.6</v>
      </c>
      <c r="E4" s="152">
        <v>21768.7</v>
      </c>
      <c r="F4" s="222">
        <v>24474.3</v>
      </c>
      <c r="G4" s="152">
        <f>G29</f>
        <v>31005.738622702356</v>
      </c>
      <c r="H4" s="152">
        <f>H29</f>
        <v>35996.144606280563</v>
      </c>
      <c r="I4" s="152">
        <f>I29</f>
        <v>40643.588104959737</v>
      </c>
      <c r="J4" s="152">
        <f>J29</f>
        <v>44598.919690362869</v>
      </c>
      <c r="K4" s="152">
        <f>K29</f>
        <v>48986.256841401089</v>
      </c>
      <c r="L4" s="152">
        <f t="shared" ref="L4:P4" si="0">L29</f>
        <v>52666.394873031786</v>
      </c>
      <c r="M4" s="152">
        <f t="shared" si="0"/>
        <v>55577.012807207218</v>
      </c>
      <c r="N4" s="152">
        <f t="shared" si="0"/>
        <v>58156.457603109011</v>
      </c>
      <c r="O4" s="152">
        <f t="shared" si="0"/>
        <v>60485.143831497931</v>
      </c>
      <c r="P4" s="153">
        <f t="shared" si="0"/>
        <v>62514.448855743816</v>
      </c>
      <c r="Q4" s="91"/>
    </row>
    <row r="5" spans="2:18" ht="16" thickBot="1">
      <c r="B5" s="151" t="s">
        <v>294</v>
      </c>
      <c r="C5" s="152">
        <v>5743.1</v>
      </c>
      <c r="D5" s="152">
        <v>5619.9</v>
      </c>
      <c r="E5" s="152">
        <v>6494.2</v>
      </c>
      <c r="F5" s="222">
        <v>8193</v>
      </c>
      <c r="G5" s="152">
        <f t="shared" ref="G5:P5" si="1">G66*G67</f>
        <v>9669.8186879304103</v>
      </c>
      <c r="H5" s="152">
        <f t="shared" si="1"/>
        <v>11270.438089887641</v>
      </c>
      <c r="I5" s="152">
        <f t="shared" si="1"/>
        <v>12817.066096973542</v>
      </c>
      <c r="J5" s="152">
        <f t="shared" si="1"/>
        <v>14500.697516428978</v>
      </c>
      <c r="K5" s="152">
        <f t="shared" si="1"/>
        <v>16333.402648674055</v>
      </c>
      <c r="L5" s="152">
        <f t="shared" si="1"/>
        <v>18137.282056287815</v>
      </c>
      <c r="M5" s="152">
        <f t="shared" si="1"/>
        <v>20059.388212174745</v>
      </c>
      <c r="N5" s="152">
        <f t="shared" si="1"/>
        <v>22106.697055723595</v>
      </c>
      <c r="O5" s="152">
        <f t="shared" si="1"/>
        <v>24278.69537202892</v>
      </c>
      <c r="P5" s="153">
        <f t="shared" si="1"/>
        <v>26570.599523990822</v>
      </c>
      <c r="Q5" s="91"/>
    </row>
    <row r="6" spans="2:18">
      <c r="B6" s="151" t="s">
        <v>295</v>
      </c>
      <c r="C6" s="152">
        <f>C5/C4</f>
        <v>0.37219626319643823</v>
      </c>
      <c r="D6" s="152">
        <f t="shared" ref="D6:F6" si="2">D5/D4</f>
        <v>0.25616493304039456</v>
      </c>
      <c r="E6" s="152">
        <f t="shared" si="2"/>
        <v>0.29832741505004889</v>
      </c>
      <c r="F6" s="222">
        <f t="shared" si="2"/>
        <v>0.33475931895907135</v>
      </c>
      <c r="G6" s="210">
        <f>G5/G4</f>
        <v>0.31187190234681855</v>
      </c>
      <c r="H6" s="210">
        <f>H5/H4</f>
        <v>0.31310125606955108</v>
      </c>
      <c r="I6" s="210">
        <f>I5/I4</f>
        <v>0.31535272092301997</v>
      </c>
      <c r="J6" s="210">
        <f>J5/J4</f>
        <v>0.32513562250168926</v>
      </c>
      <c r="K6" s="210">
        <f>K5/K4</f>
        <v>0.33342826543280119</v>
      </c>
      <c r="L6" s="210">
        <f t="shared" ref="L6:P6" si="3">L5/L4</f>
        <v>0.34438055044422916</v>
      </c>
      <c r="M6" s="210">
        <f t="shared" si="3"/>
        <v>0.36092958579402895</v>
      </c>
      <c r="N6" s="210">
        <f t="shared" si="3"/>
        <v>0.38012454621276287</v>
      </c>
      <c r="O6" s="210">
        <f>O5/O4</f>
        <v>0.40139931616374319</v>
      </c>
      <c r="P6" s="211">
        <f t="shared" si="3"/>
        <v>0.42503133292119749</v>
      </c>
      <c r="Q6" s="92"/>
      <c r="R6" s="193" t="s">
        <v>430</v>
      </c>
    </row>
    <row r="7" spans="2:18" ht="16" thickBot="1">
      <c r="B7" s="160" t="s">
        <v>296</v>
      </c>
      <c r="C7" s="161">
        <f>C5+C4</f>
        <v>21173.4</v>
      </c>
      <c r="D7" s="161">
        <f>D5+D4</f>
        <v>27558.5</v>
      </c>
      <c r="E7" s="161">
        <f>E5+E4</f>
        <v>28262.9</v>
      </c>
      <c r="F7" s="223">
        <f>F5+F4</f>
        <v>32667.3</v>
      </c>
      <c r="G7" s="212">
        <f t="shared" ref="G7:P7" si="4">(G4+G5)+(1+$R$3)</f>
        <v>40676.557310632765</v>
      </c>
      <c r="H7" s="212">
        <f t="shared" si="4"/>
        <v>47267.582696168203</v>
      </c>
      <c r="I7" s="212">
        <f t="shared" si="4"/>
        <v>53461.654201933277</v>
      </c>
      <c r="J7" s="212">
        <f t="shared" si="4"/>
        <v>59100.617206791845</v>
      </c>
      <c r="K7" s="212">
        <f t="shared" si="4"/>
        <v>65320.659490075144</v>
      </c>
      <c r="L7" s="212">
        <f t="shared" si="4"/>
        <v>70804.676929319598</v>
      </c>
      <c r="M7" s="212">
        <f t="shared" si="4"/>
        <v>75637.40101938197</v>
      </c>
      <c r="N7" s="212">
        <f t="shared" si="4"/>
        <v>80264.154658832602</v>
      </c>
      <c r="O7" s="212">
        <f t="shared" si="4"/>
        <v>84764.839203526848</v>
      </c>
      <c r="P7" s="213">
        <f t="shared" si="4"/>
        <v>89086.048379734639</v>
      </c>
      <c r="Q7" s="93"/>
      <c r="R7" s="406">
        <f>(P7/F7)^(1/10)-1</f>
        <v>0.10552774261098108</v>
      </c>
    </row>
    <row r="9" spans="2:18" ht="16" thickBot="1"/>
    <row r="10" spans="2:18">
      <c r="B10" s="149" t="s">
        <v>297</v>
      </c>
      <c r="C10" s="214">
        <v>2022</v>
      </c>
      <c r="D10" s="214">
        <v>2023</v>
      </c>
      <c r="E10" s="214">
        <v>2024</v>
      </c>
      <c r="F10" s="224">
        <v>2025</v>
      </c>
      <c r="G10" s="214" t="s">
        <v>105</v>
      </c>
      <c r="H10" s="214" t="s">
        <v>106</v>
      </c>
      <c r="I10" s="214" t="s">
        <v>107</v>
      </c>
      <c r="J10" s="214" t="s">
        <v>108</v>
      </c>
      <c r="K10" s="214" t="s">
        <v>109</v>
      </c>
      <c r="L10" s="215" t="s">
        <v>374</v>
      </c>
      <c r="M10" s="215" t="s">
        <v>375</v>
      </c>
      <c r="N10" s="215" t="s">
        <v>376</v>
      </c>
      <c r="O10" s="215" t="s">
        <v>377</v>
      </c>
      <c r="P10" s="216" t="s">
        <v>378</v>
      </c>
      <c r="Q10" s="82"/>
    </row>
    <row r="11" spans="2:18">
      <c r="B11" s="151" t="s">
        <v>298</v>
      </c>
      <c r="C11" s="155">
        <v>0</v>
      </c>
      <c r="D11" s="155">
        <v>0</v>
      </c>
      <c r="E11" s="155">
        <v>2</v>
      </c>
      <c r="F11" s="225">
        <v>4</v>
      </c>
      <c r="G11" s="155">
        <f t="shared" ref="G11:P11" si="5">ROUND(F11*(1+G45),0)</f>
        <v>8</v>
      </c>
      <c r="H11" s="155">
        <f t="shared" si="5"/>
        <v>12</v>
      </c>
      <c r="I11" s="155">
        <f t="shared" si="5"/>
        <v>18</v>
      </c>
      <c r="J11" s="155">
        <f t="shared" si="5"/>
        <v>23</v>
      </c>
      <c r="K11" s="155">
        <f t="shared" si="5"/>
        <v>29</v>
      </c>
      <c r="L11" s="155">
        <f t="shared" si="5"/>
        <v>33</v>
      </c>
      <c r="M11" s="155">
        <f t="shared" si="5"/>
        <v>36</v>
      </c>
      <c r="N11" s="155">
        <f t="shared" si="5"/>
        <v>39</v>
      </c>
      <c r="O11" s="155">
        <f t="shared" si="5"/>
        <v>42</v>
      </c>
      <c r="P11" s="156">
        <f t="shared" si="5"/>
        <v>45</v>
      </c>
    </row>
    <row r="12" spans="2:18">
      <c r="B12" s="151" t="s">
        <v>306</v>
      </c>
      <c r="C12" s="155">
        <v>40</v>
      </c>
      <c r="D12" s="155">
        <v>53</v>
      </c>
      <c r="E12" s="155">
        <v>42</v>
      </c>
      <c r="F12" s="225">
        <v>44</v>
      </c>
      <c r="G12" s="155">
        <f t="shared" ref="G12:P12" si="6">ROUND(F12*(1+G46),0)</f>
        <v>57</v>
      </c>
      <c r="H12" s="155">
        <f t="shared" si="6"/>
        <v>63</v>
      </c>
      <c r="I12" s="155">
        <f t="shared" si="6"/>
        <v>66</v>
      </c>
      <c r="J12" s="155">
        <f t="shared" si="6"/>
        <v>68</v>
      </c>
      <c r="K12" s="155">
        <f t="shared" si="6"/>
        <v>70</v>
      </c>
      <c r="L12" s="155">
        <f t="shared" si="6"/>
        <v>72</v>
      </c>
      <c r="M12" s="155">
        <f t="shared" si="6"/>
        <v>73</v>
      </c>
      <c r="N12" s="155">
        <f t="shared" si="6"/>
        <v>73</v>
      </c>
      <c r="O12" s="155">
        <f t="shared" si="6"/>
        <v>72</v>
      </c>
      <c r="P12" s="156">
        <f t="shared" si="6"/>
        <v>71</v>
      </c>
    </row>
    <row r="13" spans="2:18">
      <c r="B13" s="151" t="s">
        <v>299</v>
      </c>
      <c r="C13" s="155">
        <v>81</v>
      </c>
      <c r="D13" s="155">
        <v>125</v>
      </c>
      <c r="E13" s="155">
        <v>129</v>
      </c>
      <c r="F13" s="225">
        <v>131</v>
      </c>
      <c r="G13" s="155">
        <f t="shared" ref="G13:P13" si="7">ROUND(F13*(1+G47),0)</f>
        <v>135</v>
      </c>
      <c r="H13" s="155">
        <f t="shared" si="7"/>
        <v>138</v>
      </c>
      <c r="I13" s="155">
        <f t="shared" si="7"/>
        <v>139</v>
      </c>
      <c r="J13" s="155">
        <f t="shared" si="7"/>
        <v>139</v>
      </c>
      <c r="K13" s="155">
        <f t="shared" si="7"/>
        <v>138</v>
      </c>
      <c r="L13" s="155">
        <f t="shared" si="7"/>
        <v>137</v>
      </c>
      <c r="M13" s="155">
        <f t="shared" si="7"/>
        <v>136</v>
      </c>
      <c r="N13" s="155">
        <f t="shared" si="7"/>
        <v>135</v>
      </c>
      <c r="O13" s="155">
        <f t="shared" si="7"/>
        <v>134</v>
      </c>
      <c r="P13" s="156">
        <f t="shared" si="7"/>
        <v>131</v>
      </c>
    </row>
    <row r="14" spans="2:18">
      <c r="B14" s="151" t="s">
        <v>300</v>
      </c>
      <c r="C14" s="155">
        <v>28</v>
      </c>
      <c r="D14" s="155">
        <v>32</v>
      </c>
      <c r="E14" s="155">
        <v>28</v>
      </c>
      <c r="F14" s="225">
        <v>16</v>
      </c>
      <c r="G14" s="155">
        <f t="shared" ref="G14:P14" si="8">ROUND(F14*(1+G48),0)</f>
        <v>24</v>
      </c>
      <c r="H14" s="155">
        <f t="shared" si="8"/>
        <v>26</v>
      </c>
      <c r="I14" s="155">
        <f t="shared" si="8"/>
        <v>27</v>
      </c>
      <c r="J14" s="155">
        <f t="shared" si="8"/>
        <v>28</v>
      </c>
      <c r="K14" s="155">
        <f t="shared" si="8"/>
        <v>29</v>
      </c>
      <c r="L14" s="155">
        <f t="shared" si="8"/>
        <v>29</v>
      </c>
      <c r="M14" s="155">
        <f t="shared" si="8"/>
        <v>29</v>
      </c>
      <c r="N14" s="155">
        <f t="shared" si="8"/>
        <v>29</v>
      </c>
      <c r="O14" s="155">
        <f t="shared" si="8"/>
        <v>29</v>
      </c>
      <c r="P14" s="156">
        <f t="shared" si="8"/>
        <v>29</v>
      </c>
    </row>
    <row r="15" spans="2:18">
      <c r="B15" s="151" t="s">
        <v>301</v>
      </c>
      <c r="C15" s="155">
        <v>151</v>
      </c>
      <c r="D15" s="155">
        <v>184</v>
      </c>
      <c r="E15" s="155">
        <v>152</v>
      </c>
      <c r="F15" s="225">
        <v>78</v>
      </c>
      <c r="G15" s="155">
        <f t="shared" ref="G15:P15" si="9">ROUND(F15*(1+G49),0)</f>
        <v>98</v>
      </c>
      <c r="H15" s="155">
        <f t="shared" si="9"/>
        <v>108</v>
      </c>
      <c r="I15" s="155">
        <f t="shared" si="9"/>
        <v>110</v>
      </c>
      <c r="J15" s="155">
        <f t="shared" si="9"/>
        <v>110</v>
      </c>
      <c r="K15" s="155">
        <f t="shared" si="9"/>
        <v>110</v>
      </c>
      <c r="L15" s="155">
        <f t="shared" si="9"/>
        <v>110</v>
      </c>
      <c r="M15" s="155">
        <f t="shared" si="9"/>
        <v>110</v>
      </c>
      <c r="N15" s="155">
        <f t="shared" si="9"/>
        <v>110</v>
      </c>
      <c r="O15" s="155">
        <f t="shared" si="9"/>
        <v>110</v>
      </c>
      <c r="P15" s="156">
        <f t="shared" si="9"/>
        <v>110</v>
      </c>
    </row>
    <row r="16" spans="2:18">
      <c r="B16" s="151" t="s">
        <v>302</v>
      </c>
      <c r="C16" s="155">
        <v>45</v>
      </c>
      <c r="D16" s="155">
        <v>55</v>
      </c>
      <c r="E16" s="155">
        <v>65</v>
      </c>
      <c r="F16" s="225">
        <v>54</v>
      </c>
      <c r="G16" s="155">
        <f t="shared" ref="G16:P16" si="10">ROUND(F16*(1+G50),0)</f>
        <v>54</v>
      </c>
      <c r="H16" s="155">
        <f t="shared" si="10"/>
        <v>54</v>
      </c>
      <c r="I16" s="155">
        <f t="shared" si="10"/>
        <v>53</v>
      </c>
      <c r="J16" s="155">
        <f t="shared" si="10"/>
        <v>52</v>
      </c>
      <c r="K16" s="155">
        <f t="shared" si="10"/>
        <v>51</v>
      </c>
      <c r="L16" s="155">
        <f t="shared" si="10"/>
        <v>50</v>
      </c>
      <c r="M16" s="155">
        <f t="shared" si="10"/>
        <v>49</v>
      </c>
      <c r="N16" s="155">
        <f t="shared" si="10"/>
        <v>48</v>
      </c>
      <c r="O16" s="155">
        <f t="shared" si="10"/>
        <v>47</v>
      </c>
      <c r="P16" s="156">
        <f t="shared" si="10"/>
        <v>46</v>
      </c>
    </row>
    <row r="17" spans="2:17">
      <c r="B17" s="151" t="s">
        <v>303</v>
      </c>
      <c r="C17" s="155">
        <v>216</v>
      </c>
      <c r="D17" s="155">
        <v>151</v>
      </c>
      <c r="E17" s="155">
        <v>165</v>
      </c>
      <c r="F17" s="225">
        <v>208</v>
      </c>
      <c r="G17" s="155">
        <f t="shared" ref="G17:P17" si="11">ROUND(F17*(1+G51),0)</f>
        <v>250</v>
      </c>
      <c r="H17" s="155">
        <f t="shared" si="11"/>
        <v>275</v>
      </c>
      <c r="I17" s="155">
        <f t="shared" si="11"/>
        <v>297</v>
      </c>
      <c r="J17" s="155">
        <f t="shared" si="11"/>
        <v>321</v>
      </c>
      <c r="K17" s="155">
        <f t="shared" si="11"/>
        <v>347</v>
      </c>
      <c r="L17" s="155">
        <f t="shared" si="11"/>
        <v>371</v>
      </c>
      <c r="M17" s="155">
        <f t="shared" si="11"/>
        <v>397</v>
      </c>
      <c r="N17" s="155">
        <f t="shared" si="11"/>
        <v>425</v>
      </c>
      <c r="O17" s="155">
        <f t="shared" si="11"/>
        <v>451</v>
      </c>
      <c r="P17" s="156">
        <f t="shared" si="11"/>
        <v>474</v>
      </c>
    </row>
    <row r="18" spans="2:17" ht="16" thickBot="1">
      <c r="B18" s="160" t="s">
        <v>304</v>
      </c>
      <c r="C18" s="217">
        <f>SUM(C11:C17)</f>
        <v>561</v>
      </c>
      <c r="D18" s="217">
        <f>SUM(D11:D17)</f>
        <v>600</v>
      </c>
      <c r="E18" s="217">
        <f>SUM(E11:E17)</f>
        <v>583</v>
      </c>
      <c r="F18" s="226">
        <v>535</v>
      </c>
      <c r="G18" s="218">
        <f>SUM(G11:G17)</f>
        <v>626</v>
      </c>
      <c r="H18" s="218">
        <f t="shared" ref="H18:J18" si="12">SUM(H11:H17)</f>
        <v>676</v>
      </c>
      <c r="I18" s="218">
        <f t="shared" si="12"/>
        <v>710</v>
      </c>
      <c r="J18" s="218">
        <f t="shared" si="12"/>
        <v>741</v>
      </c>
      <c r="K18" s="218">
        <f>SUM(K11:K17)</f>
        <v>774</v>
      </c>
      <c r="L18" s="218">
        <f t="shared" ref="L18:P18" si="13">SUM(L11:L17)</f>
        <v>802</v>
      </c>
      <c r="M18" s="218">
        <f t="shared" si="13"/>
        <v>830</v>
      </c>
      <c r="N18" s="218">
        <f t="shared" si="13"/>
        <v>859</v>
      </c>
      <c r="O18" s="218">
        <f t="shared" si="13"/>
        <v>885</v>
      </c>
      <c r="P18" s="219">
        <f t="shared" si="13"/>
        <v>906</v>
      </c>
      <c r="Q18" s="86"/>
    </row>
    <row r="20" spans="2:17" ht="16" thickBot="1"/>
    <row r="21" spans="2:17">
      <c r="B21" s="166" t="s">
        <v>305</v>
      </c>
      <c r="C21" s="214">
        <v>2022</v>
      </c>
      <c r="D21" s="214">
        <v>2023</v>
      </c>
      <c r="E21" s="214">
        <v>2024</v>
      </c>
      <c r="F21" s="224">
        <v>2025</v>
      </c>
      <c r="G21" s="214" t="s">
        <v>105</v>
      </c>
      <c r="H21" s="214" t="s">
        <v>106</v>
      </c>
      <c r="I21" s="214" t="s">
        <v>107</v>
      </c>
      <c r="J21" s="214" t="s">
        <v>108</v>
      </c>
      <c r="K21" s="214" t="s">
        <v>109</v>
      </c>
      <c r="L21" s="215" t="s">
        <v>374</v>
      </c>
      <c r="M21" s="215" t="s">
        <v>375</v>
      </c>
      <c r="N21" s="215" t="s">
        <v>376</v>
      </c>
      <c r="O21" s="215" t="s">
        <v>377</v>
      </c>
      <c r="P21" s="216" t="s">
        <v>378</v>
      </c>
      <c r="Q21" s="82"/>
    </row>
    <row r="22" spans="2:17">
      <c r="B22" s="151" t="s">
        <v>298</v>
      </c>
      <c r="C22" s="152">
        <v>0</v>
      </c>
      <c r="D22" s="152">
        <v>0</v>
      </c>
      <c r="E22" s="152">
        <v>465</v>
      </c>
      <c r="F22" s="222">
        <v>1156.9000000000001</v>
      </c>
      <c r="G22" s="152">
        <f t="shared" ref="G22:P22" si="14">G11*G33</f>
        <v>2545.1800000000003</v>
      </c>
      <c r="H22" s="152">
        <f t="shared" si="14"/>
        <v>4199.5470000000005</v>
      </c>
      <c r="I22" s="152">
        <f t="shared" si="14"/>
        <v>6740.2729350000009</v>
      </c>
      <c r="J22" s="152">
        <f t="shared" si="14"/>
        <v>9043.1995211250014</v>
      </c>
      <c r="K22" s="152">
        <f t="shared" si="14"/>
        <v>11972.409800793754</v>
      </c>
      <c r="L22" s="152">
        <f t="shared" si="14"/>
        <v>14168.727736663504</v>
      </c>
      <c r="M22" s="152">
        <f t="shared" si="14"/>
        <v>16075.065650323686</v>
      </c>
      <c r="N22" s="152">
        <f t="shared" si="14"/>
        <v>17937.094088152848</v>
      </c>
      <c r="O22" s="152">
        <f t="shared" si="14"/>
        <v>19896.376673166465</v>
      </c>
      <c r="P22" s="153">
        <f t="shared" si="14"/>
        <v>21743.897364246212</v>
      </c>
      <c r="Q22" s="91"/>
    </row>
    <row r="23" spans="2:17">
      <c r="B23" s="151" t="s">
        <v>306</v>
      </c>
      <c r="C23" s="152">
        <v>7045.3</v>
      </c>
      <c r="D23" s="152">
        <v>9124</v>
      </c>
      <c r="E23" s="152">
        <v>7856.4</v>
      </c>
      <c r="F23" s="222">
        <v>10445.799999999999</v>
      </c>
      <c r="G23" s="152">
        <f t="shared" ref="G23:P23" si="15">G12*G34</f>
        <v>14479.303227272725</v>
      </c>
      <c r="H23" s="152">
        <f t="shared" si="15"/>
        <v>17123.681237727269</v>
      </c>
      <c r="I23" s="152">
        <f t="shared" si="15"/>
        <v>18836.049361499998</v>
      </c>
      <c r="J23" s="152">
        <f t="shared" si="15"/>
        <v>20183.112285534546</v>
      </c>
      <c r="K23" s="152">
        <f t="shared" si="15"/>
        <v>21400.035232162365</v>
      </c>
      <c r="L23" s="152">
        <f t="shared" si="15"/>
        <v>22671.808754530874</v>
      </c>
      <c r="M23" s="152">
        <f t="shared" si="15"/>
        <v>23446.428886977345</v>
      </c>
      <c r="N23" s="152">
        <f t="shared" si="15"/>
        <v>23915.35746471689</v>
      </c>
      <c r="O23" s="152">
        <f t="shared" si="15"/>
        <v>24059.5048247782</v>
      </c>
      <c r="P23" s="153">
        <f t="shared" si="15"/>
        <v>24199.851936256073</v>
      </c>
      <c r="Q23" s="91"/>
    </row>
    <row r="24" spans="2:17">
      <c r="B24" s="151" t="s">
        <v>299</v>
      </c>
      <c r="C24" s="152">
        <v>5236.5</v>
      </c>
      <c r="D24" s="152">
        <v>9017.4</v>
      </c>
      <c r="E24" s="152">
        <v>9667</v>
      </c>
      <c r="F24" s="222">
        <v>10311.4</v>
      </c>
      <c r="G24" s="152">
        <f t="shared" ref="G24:P24" si="16">G13*G35</f>
        <v>10732.514427480915</v>
      </c>
      <c r="H24" s="152">
        <f t="shared" si="16"/>
        <v>11080.724895572519</v>
      </c>
      <c r="I24" s="152">
        <f t="shared" si="16"/>
        <v>11272.630203546565</v>
      </c>
      <c r="J24" s="152">
        <f t="shared" si="16"/>
        <v>11385.356505582031</v>
      </c>
      <c r="K24" s="152">
        <f t="shared" si="16"/>
        <v>11416.481940633263</v>
      </c>
      <c r="L24" s="152">
        <f t="shared" si="16"/>
        <v>11447.091348734961</v>
      </c>
      <c r="M24" s="152">
        <f t="shared" si="16"/>
        <v>11477.171296804629</v>
      </c>
      <c r="N24" s="152">
        <f t="shared" si="16"/>
        <v>11506.708134700817</v>
      </c>
      <c r="O24" s="152">
        <f t="shared" si="16"/>
        <v>11535.687992225248</v>
      </c>
      <c r="P24" s="153">
        <f t="shared" si="16"/>
        <v>11390.200583965094</v>
      </c>
      <c r="Q24" s="91"/>
    </row>
    <row r="25" spans="2:17">
      <c r="B25" s="151" t="s">
        <v>300</v>
      </c>
      <c r="C25" s="152">
        <v>623.70000000000005</v>
      </c>
      <c r="D25" s="152">
        <v>780.2</v>
      </c>
      <c r="E25" s="152">
        <v>774.4</v>
      </c>
      <c r="F25" s="222">
        <v>427</v>
      </c>
      <c r="G25" s="152">
        <f t="shared" ref="G25:P25" si="17">G14*G36</f>
        <v>646.90499999999997</v>
      </c>
      <c r="H25" s="152">
        <f t="shared" si="17"/>
        <v>707.8218875</v>
      </c>
      <c r="I25" s="152">
        <f t="shared" si="17"/>
        <v>742.39626431249997</v>
      </c>
      <c r="J25" s="152">
        <f t="shared" si="17"/>
        <v>777.59134647249994</v>
      </c>
      <c r="K25" s="152">
        <f t="shared" si="17"/>
        <v>813.41609064926865</v>
      </c>
      <c r="L25" s="152">
        <f t="shared" si="17"/>
        <v>821.55025155576141</v>
      </c>
      <c r="M25" s="152">
        <f t="shared" si="17"/>
        <v>829.76575407131895</v>
      </c>
      <c r="N25" s="152">
        <f t="shared" si="17"/>
        <v>838.06341161203227</v>
      </c>
      <c r="O25" s="152">
        <f t="shared" si="17"/>
        <v>846.44404572815256</v>
      </c>
      <c r="P25" s="153">
        <f t="shared" si="17"/>
        <v>854.90848618543419</v>
      </c>
      <c r="Q25" s="91"/>
    </row>
    <row r="26" spans="2:17">
      <c r="B26" s="151" t="s">
        <v>301</v>
      </c>
      <c r="C26" s="152">
        <v>1653.7</v>
      </c>
      <c r="D26" s="152">
        <v>2202.5</v>
      </c>
      <c r="E26" s="152">
        <v>1991.2</v>
      </c>
      <c r="F26" s="222">
        <v>1001.3</v>
      </c>
      <c r="G26" s="152">
        <f t="shared" ref="G26:P26" si="18">G15*G37</f>
        <v>1270.6240256410256</v>
      </c>
      <c r="H26" s="152">
        <f t="shared" si="18"/>
        <v>1414.2823338461537</v>
      </c>
      <c r="I26" s="152">
        <f t="shared" si="18"/>
        <v>1454.8774749102563</v>
      </c>
      <c r="J26" s="152">
        <f t="shared" si="18"/>
        <v>1469.426249659359</v>
      </c>
      <c r="K26" s="152">
        <f t="shared" si="18"/>
        <v>1484.1205121559526</v>
      </c>
      <c r="L26" s="152">
        <f t="shared" si="18"/>
        <v>1498.961717277512</v>
      </c>
      <c r="M26" s="152">
        <f t="shared" si="18"/>
        <v>1513.9513344502873</v>
      </c>
      <c r="N26" s="152">
        <f t="shared" si="18"/>
        <v>1529.0908477947903</v>
      </c>
      <c r="O26" s="152">
        <f t="shared" si="18"/>
        <v>1544.3817562727381</v>
      </c>
      <c r="P26" s="153">
        <f t="shared" si="18"/>
        <v>1559.8255738354655</v>
      </c>
      <c r="Q26" s="91"/>
    </row>
    <row r="27" spans="2:17">
      <c r="B27" s="151" t="s">
        <v>302</v>
      </c>
      <c r="C27" s="152">
        <v>211.5</v>
      </c>
      <c r="D27" s="152">
        <v>278.39999999999998</v>
      </c>
      <c r="E27" s="152">
        <v>369.2</v>
      </c>
      <c r="F27" s="222">
        <v>307.3</v>
      </c>
      <c r="G27" s="152">
        <f t="shared" ref="G27:P27" si="19">G16*G38</f>
        <v>310.37299999999999</v>
      </c>
      <c r="H27" s="152">
        <f t="shared" si="19"/>
        <v>313.47672999999998</v>
      </c>
      <c r="I27" s="152">
        <f t="shared" si="19"/>
        <v>310.74832142407405</v>
      </c>
      <c r="J27" s="152">
        <f t="shared" si="19"/>
        <v>307.9339970036296</v>
      </c>
      <c r="K27" s="152">
        <f t="shared" si="19"/>
        <v>305.03231126263387</v>
      </c>
      <c r="L27" s="152">
        <f t="shared" si="19"/>
        <v>302.04179840711782</v>
      </c>
      <c r="M27" s="152">
        <f t="shared" si="19"/>
        <v>298.96097206336526</v>
      </c>
      <c r="N27" s="152">
        <f t="shared" si="19"/>
        <v>295.78832501289691</v>
      </c>
      <c r="O27" s="152">
        <f t="shared" si="19"/>
        <v>292.52232892421284</v>
      </c>
      <c r="P27" s="153">
        <f t="shared" si="19"/>
        <v>289.16143408125379</v>
      </c>
      <c r="Q27" s="91"/>
    </row>
    <row r="28" spans="2:17">
      <c r="B28" s="151" t="s">
        <v>303</v>
      </c>
      <c r="C28" s="152">
        <v>659.6</v>
      </c>
      <c r="D28" s="152">
        <v>536.1</v>
      </c>
      <c r="E28" s="152">
        <v>645.5</v>
      </c>
      <c r="F28" s="222">
        <v>824.6</v>
      </c>
      <c r="G28" s="152">
        <f t="shared" ref="G28:P28" si="20">G17*G39</f>
        <v>1020.8389423076923</v>
      </c>
      <c r="H28" s="152">
        <f t="shared" si="20"/>
        <v>1156.6105216346155</v>
      </c>
      <c r="I28" s="152">
        <f t="shared" si="20"/>
        <v>1286.6135442663463</v>
      </c>
      <c r="J28" s="152">
        <f t="shared" si="20"/>
        <v>1432.2997849857982</v>
      </c>
      <c r="K28" s="152">
        <f t="shared" si="20"/>
        <v>1594.7609537438445</v>
      </c>
      <c r="L28" s="152">
        <f t="shared" si="20"/>
        <v>1756.2132658620617</v>
      </c>
      <c r="M28" s="152">
        <f t="shared" si="20"/>
        <v>1935.6689125165922</v>
      </c>
      <c r="N28" s="152">
        <f t="shared" si="20"/>
        <v>2134.3553311187361</v>
      </c>
      <c r="O28" s="152">
        <f t="shared" si="20"/>
        <v>2310.2262104029201</v>
      </c>
      <c r="P28" s="153">
        <f t="shared" si="20"/>
        <v>2476.6034771742879</v>
      </c>
      <c r="Q28" s="91"/>
    </row>
    <row r="29" spans="2:17" ht="16" thickBot="1">
      <c r="B29" s="160" t="s">
        <v>293</v>
      </c>
      <c r="C29" s="161">
        <f>SUM(C22:C28)</f>
        <v>15430.300000000001</v>
      </c>
      <c r="D29" s="220">
        <f>SUM(D22:D28)</f>
        <v>21938.600000000002</v>
      </c>
      <c r="E29" s="220">
        <f>SUM(E22:E28)</f>
        <v>21768.700000000004</v>
      </c>
      <c r="F29" s="223">
        <f>SUM(F22:F28)</f>
        <v>24474.299999999996</v>
      </c>
      <c r="G29" s="212">
        <f t="shared" ref="G29:P29" si="21">SUM(G22:G28)</f>
        <v>31005.738622702356</v>
      </c>
      <c r="H29" s="212">
        <f t="shared" si="21"/>
        <v>35996.144606280563</v>
      </c>
      <c r="I29" s="212">
        <f t="shared" si="21"/>
        <v>40643.588104959737</v>
      </c>
      <c r="J29" s="212">
        <f t="shared" si="21"/>
        <v>44598.919690362869</v>
      </c>
      <c r="K29" s="212">
        <f t="shared" si="21"/>
        <v>48986.256841401089</v>
      </c>
      <c r="L29" s="212">
        <f t="shared" si="21"/>
        <v>52666.394873031786</v>
      </c>
      <c r="M29" s="212">
        <f t="shared" si="21"/>
        <v>55577.012807207218</v>
      </c>
      <c r="N29" s="212">
        <f t="shared" si="21"/>
        <v>58156.457603109011</v>
      </c>
      <c r="O29" s="212">
        <f t="shared" si="21"/>
        <v>60485.143831497931</v>
      </c>
      <c r="P29" s="213">
        <f t="shared" si="21"/>
        <v>62514.448855743816</v>
      </c>
      <c r="Q29" s="93"/>
    </row>
    <row r="31" spans="2:17" ht="16" thickBot="1"/>
    <row r="32" spans="2:17">
      <c r="B32" s="149" t="s">
        <v>307</v>
      </c>
      <c r="C32" s="214">
        <v>2022</v>
      </c>
      <c r="D32" s="214">
        <v>2023</v>
      </c>
      <c r="E32" s="214">
        <v>2024</v>
      </c>
      <c r="F32" s="224">
        <v>2025</v>
      </c>
      <c r="G32" s="214" t="s">
        <v>105</v>
      </c>
      <c r="H32" s="214" t="s">
        <v>106</v>
      </c>
      <c r="I32" s="214" t="s">
        <v>107</v>
      </c>
      <c r="J32" s="214" t="s">
        <v>108</v>
      </c>
      <c r="K32" s="214" t="s">
        <v>109</v>
      </c>
      <c r="L32" s="215" t="s">
        <v>374</v>
      </c>
      <c r="M32" s="215" t="s">
        <v>375</v>
      </c>
      <c r="N32" s="215" t="s">
        <v>376</v>
      </c>
      <c r="O32" s="215" t="s">
        <v>377</v>
      </c>
      <c r="P32" s="216" t="s">
        <v>378</v>
      </c>
      <c r="Q32" s="82"/>
    </row>
    <row r="33" spans="2:17">
      <c r="B33" s="151" t="s">
        <v>298</v>
      </c>
      <c r="C33" s="152">
        <v>0</v>
      </c>
      <c r="D33" s="152">
        <v>0</v>
      </c>
      <c r="E33" s="152">
        <f t="shared" ref="E33:F40" si="22">E22/E11</f>
        <v>232.5</v>
      </c>
      <c r="F33" s="222">
        <f t="shared" si="22"/>
        <v>289.22500000000002</v>
      </c>
      <c r="G33" s="152">
        <f t="shared" ref="G33:P33" si="23">F33*(1+G54)</f>
        <v>318.14750000000004</v>
      </c>
      <c r="H33" s="152">
        <f t="shared" si="23"/>
        <v>349.96225000000004</v>
      </c>
      <c r="I33" s="152">
        <f t="shared" si="23"/>
        <v>374.45960750000006</v>
      </c>
      <c r="J33" s="152">
        <f t="shared" si="23"/>
        <v>393.18258787500008</v>
      </c>
      <c r="K33" s="152">
        <f t="shared" si="23"/>
        <v>412.84171726875013</v>
      </c>
      <c r="L33" s="152">
        <f t="shared" si="23"/>
        <v>429.35538595950015</v>
      </c>
      <c r="M33" s="152">
        <f t="shared" si="23"/>
        <v>446.52960139788019</v>
      </c>
      <c r="N33" s="152">
        <f t="shared" si="23"/>
        <v>459.9254894398166</v>
      </c>
      <c r="O33" s="152">
        <f t="shared" si="23"/>
        <v>473.72325412301109</v>
      </c>
      <c r="P33" s="153">
        <f t="shared" si="23"/>
        <v>483.19771920547134</v>
      </c>
      <c r="Q33" s="91"/>
    </row>
    <row r="34" spans="2:17">
      <c r="B34" s="151" t="s">
        <v>306</v>
      </c>
      <c r="C34" s="152">
        <f t="shared" ref="C34:D40" si="24">C23/C12</f>
        <v>176.13249999999999</v>
      </c>
      <c r="D34" s="152">
        <f t="shared" si="24"/>
        <v>172.15094339622641</v>
      </c>
      <c r="E34" s="152">
        <f t="shared" si="22"/>
        <v>187.05714285714285</v>
      </c>
      <c r="F34" s="222">
        <f t="shared" si="22"/>
        <v>237.40454545454543</v>
      </c>
      <c r="G34" s="152">
        <f t="shared" ref="G34:P34" si="25">F34*(1+G55)</f>
        <v>254.02286363636361</v>
      </c>
      <c r="H34" s="152">
        <f t="shared" si="25"/>
        <v>271.80446409090905</v>
      </c>
      <c r="I34" s="152">
        <f t="shared" si="25"/>
        <v>285.3946872954545</v>
      </c>
      <c r="J34" s="152">
        <f t="shared" si="25"/>
        <v>296.81047478727271</v>
      </c>
      <c r="K34" s="152">
        <f t="shared" si="25"/>
        <v>305.71478903089093</v>
      </c>
      <c r="L34" s="152">
        <f t="shared" si="25"/>
        <v>314.88623270181768</v>
      </c>
      <c r="M34" s="152">
        <f t="shared" si="25"/>
        <v>321.18395735585403</v>
      </c>
      <c r="N34" s="152">
        <f t="shared" si="25"/>
        <v>327.6076365029711</v>
      </c>
      <c r="O34" s="152">
        <f t="shared" si="25"/>
        <v>334.15978923303055</v>
      </c>
      <c r="P34" s="153">
        <f t="shared" si="25"/>
        <v>340.84298501769115</v>
      </c>
      <c r="Q34" s="91"/>
    </row>
    <row r="35" spans="2:17">
      <c r="B35" s="151" t="s">
        <v>299</v>
      </c>
      <c r="C35" s="152">
        <f t="shared" si="24"/>
        <v>64.648148148148152</v>
      </c>
      <c r="D35" s="152">
        <f t="shared" si="24"/>
        <v>72.139200000000002</v>
      </c>
      <c r="E35" s="152">
        <f t="shared" si="22"/>
        <v>74.937984496124031</v>
      </c>
      <c r="F35" s="222">
        <f t="shared" si="22"/>
        <v>78.712977099236639</v>
      </c>
      <c r="G35" s="152">
        <f t="shared" ref="G35:P35" si="26">F35*(1+G56)</f>
        <v>79.500106870229004</v>
      </c>
      <c r="H35" s="152">
        <f t="shared" si="26"/>
        <v>80.295107938931295</v>
      </c>
      <c r="I35" s="152">
        <f t="shared" si="26"/>
        <v>81.098059018320612</v>
      </c>
      <c r="J35" s="152">
        <f t="shared" si="26"/>
        <v>81.909039608503818</v>
      </c>
      <c r="K35" s="152">
        <f t="shared" si="26"/>
        <v>82.728130004588863</v>
      </c>
      <c r="L35" s="152">
        <f t="shared" si="26"/>
        <v>83.555411304634745</v>
      </c>
      <c r="M35" s="152">
        <f t="shared" si="26"/>
        <v>84.390965417681088</v>
      </c>
      <c r="N35" s="152">
        <f t="shared" si="26"/>
        <v>85.2348750718579</v>
      </c>
      <c r="O35" s="152">
        <f t="shared" si="26"/>
        <v>86.087223822576476</v>
      </c>
      <c r="P35" s="153">
        <f t="shared" si="26"/>
        <v>86.948096060802243</v>
      </c>
      <c r="Q35" s="91"/>
    </row>
    <row r="36" spans="2:17">
      <c r="B36" s="151" t="s">
        <v>300</v>
      </c>
      <c r="C36" s="152">
        <f t="shared" si="24"/>
        <v>22.275000000000002</v>
      </c>
      <c r="D36" s="152">
        <f t="shared" si="24"/>
        <v>24.381250000000001</v>
      </c>
      <c r="E36" s="152">
        <f t="shared" si="22"/>
        <v>27.657142857142855</v>
      </c>
      <c r="F36" s="222">
        <f t="shared" si="22"/>
        <v>26.6875</v>
      </c>
      <c r="G36" s="152">
        <f t="shared" ref="G36:P36" si="27">F36*(1+G56)</f>
        <v>26.954374999999999</v>
      </c>
      <c r="H36" s="152">
        <f t="shared" si="27"/>
        <v>27.223918749999999</v>
      </c>
      <c r="I36" s="152">
        <f t="shared" si="27"/>
        <v>27.496157937499998</v>
      </c>
      <c r="J36" s="152">
        <f t="shared" si="27"/>
        <v>27.771119516874997</v>
      </c>
      <c r="K36" s="152">
        <f t="shared" si="27"/>
        <v>28.048830712043745</v>
      </c>
      <c r="L36" s="152">
        <f t="shared" si="27"/>
        <v>28.329319019164185</v>
      </c>
      <c r="M36" s="152">
        <f t="shared" si="27"/>
        <v>28.612612209355827</v>
      </c>
      <c r="N36" s="152">
        <f t="shared" si="27"/>
        <v>28.898738331449387</v>
      </c>
      <c r="O36" s="152">
        <f t="shared" si="27"/>
        <v>29.187725714763882</v>
      </c>
      <c r="P36" s="153">
        <f t="shared" si="27"/>
        <v>29.479602971911522</v>
      </c>
      <c r="Q36" s="91"/>
    </row>
    <row r="37" spans="2:17">
      <c r="B37" s="151" t="s">
        <v>301</v>
      </c>
      <c r="C37" s="152">
        <f t="shared" si="24"/>
        <v>10.951655629139074</v>
      </c>
      <c r="D37" s="152">
        <f t="shared" si="24"/>
        <v>11.970108695652174</v>
      </c>
      <c r="E37" s="152">
        <f t="shared" si="22"/>
        <v>13.1</v>
      </c>
      <c r="F37" s="222">
        <f t="shared" si="22"/>
        <v>12.837179487179487</v>
      </c>
      <c r="G37" s="152">
        <f t="shared" ref="G37:P37" si="28">F37*(1+G56)</f>
        <v>12.965551282051281</v>
      </c>
      <c r="H37" s="152">
        <f t="shared" si="28"/>
        <v>13.095206794871794</v>
      </c>
      <c r="I37" s="152">
        <f t="shared" si="28"/>
        <v>13.226158862820512</v>
      </c>
      <c r="J37" s="152">
        <f t="shared" si="28"/>
        <v>13.358420451448717</v>
      </c>
      <c r="K37" s="152">
        <f t="shared" si="28"/>
        <v>13.492004655963205</v>
      </c>
      <c r="L37" s="152">
        <f t="shared" si="28"/>
        <v>13.626924702522837</v>
      </c>
      <c r="M37" s="152">
        <f t="shared" si="28"/>
        <v>13.763193949548066</v>
      </c>
      <c r="N37" s="152">
        <f t="shared" si="28"/>
        <v>13.900825889043547</v>
      </c>
      <c r="O37" s="152">
        <f t="shared" si="28"/>
        <v>14.039834147933982</v>
      </c>
      <c r="P37" s="153">
        <f t="shared" si="28"/>
        <v>14.180232489413322</v>
      </c>
      <c r="Q37" s="91"/>
    </row>
    <row r="38" spans="2:17">
      <c r="B38" s="151" t="s">
        <v>302</v>
      </c>
      <c r="C38" s="152">
        <f t="shared" si="24"/>
        <v>4.7</v>
      </c>
      <c r="D38" s="152">
        <f t="shared" si="24"/>
        <v>5.0618181818181816</v>
      </c>
      <c r="E38" s="152">
        <f t="shared" si="22"/>
        <v>5.68</v>
      </c>
      <c r="F38" s="222">
        <f t="shared" si="22"/>
        <v>5.6907407407407407</v>
      </c>
      <c r="G38" s="152">
        <f t="shared" ref="G38:P38" si="29">F38*(1+G56)</f>
        <v>5.7476481481481478</v>
      </c>
      <c r="H38" s="152">
        <f t="shared" si="29"/>
        <v>5.8051246296296295</v>
      </c>
      <c r="I38" s="152">
        <f t="shared" si="29"/>
        <v>5.8631758759259256</v>
      </c>
      <c r="J38" s="152">
        <f t="shared" si="29"/>
        <v>5.9218076346851847</v>
      </c>
      <c r="K38" s="152">
        <f t="shared" si="29"/>
        <v>5.9810257110320366</v>
      </c>
      <c r="L38" s="152">
        <f t="shared" si="29"/>
        <v>6.0408359681423569</v>
      </c>
      <c r="M38" s="152">
        <f t="shared" si="29"/>
        <v>6.1012443278237809</v>
      </c>
      <c r="N38" s="152">
        <f t="shared" si="29"/>
        <v>6.1622567711020189</v>
      </c>
      <c r="O38" s="152">
        <f t="shared" si="29"/>
        <v>6.2238793388130391</v>
      </c>
      <c r="P38" s="153">
        <f t="shared" si="29"/>
        <v>6.2861181322011692</v>
      </c>
      <c r="Q38" s="91"/>
    </row>
    <row r="39" spans="2:17">
      <c r="B39" s="151" t="s">
        <v>303</v>
      </c>
      <c r="C39" s="152">
        <f t="shared" si="24"/>
        <v>3.0537037037037038</v>
      </c>
      <c r="D39" s="152">
        <f t="shared" si="24"/>
        <v>3.5503311258278147</v>
      </c>
      <c r="E39" s="152">
        <f t="shared" si="22"/>
        <v>3.9121212121212121</v>
      </c>
      <c r="F39" s="222">
        <f t="shared" si="22"/>
        <v>3.9644230769230768</v>
      </c>
      <c r="G39" s="152">
        <f t="shared" ref="G39:P39" si="30">F39*(1+G57)</f>
        <v>4.0833557692307689</v>
      </c>
      <c r="H39" s="152">
        <f t="shared" si="30"/>
        <v>4.2058564423076925</v>
      </c>
      <c r="I39" s="152">
        <f t="shared" si="30"/>
        <v>4.3320321355769238</v>
      </c>
      <c r="J39" s="152">
        <f t="shared" si="30"/>
        <v>4.4619930996442312</v>
      </c>
      <c r="K39" s="152">
        <f t="shared" si="30"/>
        <v>4.595852892633558</v>
      </c>
      <c r="L39" s="152">
        <f t="shared" si="30"/>
        <v>4.7337284794125649</v>
      </c>
      <c r="M39" s="152">
        <f t="shared" si="30"/>
        <v>4.8757403337949423</v>
      </c>
      <c r="N39" s="152">
        <f t="shared" si="30"/>
        <v>5.022012543808791</v>
      </c>
      <c r="O39" s="152">
        <f t="shared" si="30"/>
        <v>5.1224527946849667</v>
      </c>
      <c r="P39" s="153">
        <f t="shared" si="30"/>
        <v>5.2249018505786662</v>
      </c>
      <c r="Q39" s="91"/>
    </row>
    <row r="40" spans="2:17" ht="16" thickBot="1">
      <c r="B40" s="160" t="s">
        <v>308</v>
      </c>
      <c r="C40" s="161">
        <f t="shared" si="24"/>
        <v>27.504991087344031</v>
      </c>
      <c r="D40" s="161">
        <f t="shared" si="24"/>
        <v>36.564333333333337</v>
      </c>
      <c r="E40" s="161">
        <f t="shared" si="22"/>
        <v>37.339108061749577</v>
      </c>
      <c r="F40" s="223">
        <f t="shared" si="22"/>
        <v>45.746355140186907</v>
      </c>
      <c r="G40" s="212">
        <f t="shared" ref="G40:P40" si="31">G29/G18</f>
        <v>49.529933902080444</v>
      </c>
      <c r="H40" s="212">
        <f t="shared" si="31"/>
        <v>53.248734624675386</v>
      </c>
      <c r="I40" s="212">
        <f t="shared" si="31"/>
        <v>57.244490288675685</v>
      </c>
      <c r="J40" s="212">
        <f t="shared" si="31"/>
        <v>60.18747596540198</v>
      </c>
      <c r="K40" s="212">
        <f t="shared" si="31"/>
        <v>63.289737521190041</v>
      </c>
      <c r="L40" s="212">
        <f t="shared" si="31"/>
        <v>65.668821537446121</v>
      </c>
      <c r="M40" s="212">
        <f t="shared" si="31"/>
        <v>66.960256394225567</v>
      </c>
      <c r="N40" s="212">
        <f t="shared" si="31"/>
        <v>67.702511761477311</v>
      </c>
      <c r="O40" s="212">
        <f t="shared" si="31"/>
        <v>68.34479528982817</v>
      </c>
      <c r="P40" s="213">
        <f t="shared" si="31"/>
        <v>69.000495425765806</v>
      </c>
      <c r="Q40" s="93"/>
    </row>
    <row r="42" spans="2:17" ht="16" thickBot="1"/>
    <row r="43" spans="2:17" ht="17">
      <c r="F43" s="282" t="s">
        <v>309</v>
      </c>
      <c r="G43" s="283" t="s">
        <v>105</v>
      </c>
      <c r="H43" s="283" t="s">
        <v>106</v>
      </c>
      <c r="I43" s="283" t="s">
        <v>107</v>
      </c>
      <c r="J43" s="283" t="s">
        <v>108</v>
      </c>
      <c r="K43" s="283" t="s">
        <v>109</v>
      </c>
      <c r="L43" s="283" t="s">
        <v>374</v>
      </c>
      <c r="M43" s="283" t="s">
        <v>375</v>
      </c>
      <c r="N43" s="283" t="s">
        <v>376</v>
      </c>
      <c r="O43" s="283" t="s">
        <v>377</v>
      </c>
      <c r="P43" s="284" t="s">
        <v>378</v>
      </c>
    </row>
    <row r="44" spans="2:17" ht="17">
      <c r="F44" s="285" t="s">
        <v>389</v>
      </c>
      <c r="G44" s="286"/>
      <c r="H44" s="286"/>
      <c r="I44" s="286"/>
      <c r="J44" s="286"/>
      <c r="K44" s="286"/>
      <c r="L44" s="286"/>
      <c r="M44" s="286"/>
      <c r="N44" s="286"/>
      <c r="O44" s="286"/>
      <c r="P44" s="287"/>
    </row>
    <row r="45" spans="2:17" ht="16">
      <c r="F45" s="288" t="s">
        <v>310</v>
      </c>
      <c r="G45" s="289">
        <v>1</v>
      </c>
      <c r="H45" s="289">
        <v>0.5</v>
      </c>
      <c r="I45" s="289">
        <v>0.5</v>
      </c>
      <c r="J45" s="289">
        <v>0.3</v>
      </c>
      <c r="K45" s="289">
        <v>0.25</v>
      </c>
      <c r="L45" s="290">
        <v>0.15</v>
      </c>
      <c r="M45" s="290">
        <v>0.1</v>
      </c>
      <c r="N45" s="290">
        <v>0.08</v>
      </c>
      <c r="O45" s="290">
        <v>0.08</v>
      </c>
      <c r="P45" s="291">
        <v>0.08</v>
      </c>
    </row>
    <row r="46" spans="2:17" ht="16">
      <c r="F46" s="288" t="s">
        <v>311</v>
      </c>
      <c r="G46" s="289">
        <v>0.3</v>
      </c>
      <c r="H46" s="289">
        <v>0.1</v>
      </c>
      <c r="I46" s="289">
        <v>0.04</v>
      </c>
      <c r="J46" s="289">
        <v>0.03</v>
      </c>
      <c r="K46" s="289">
        <v>0.03</v>
      </c>
      <c r="L46" s="290">
        <v>0.03</v>
      </c>
      <c r="M46" s="290">
        <v>0.02</v>
      </c>
      <c r="N46" s="290">
        <v>0</v>
      </c>
      <c r="O46" s="290">
        <v>-0.01</v>
      </c>
      <c r="P46" s="291">
        <v>-0.02</v>
      </c>
    </row>
    <row r="47" spans="2:17" ht="16">
      <c r="F47" s="288" t="s">
        <v>312</v>
      </c>
      <c r="G47" s="289">
        <v>0.03</v>
      </c>
      <c r="H47" s="289">
        <v>0.02</v>
      </c>
      <c r="I47" s="289">
        <v>0.01</v>
      </c>
      <c r="J47" s="289">
        <v>0</v>
      </c>
      <c r="K47" s="289">
        <v>-0.01</v>
      </c>
      <c r="L47" s="290">
        <v>-0.01</v>
      </c>
      <c r="M47" s="290">
        <v>-0.01</v>
      </c>
      <c r="N47" s="290">
        <v>-0.01</v>
      </c>
      <c r="O47" s="290">
        <v>-0.01</v>
      </c>
      <c r="P47" s="291">
        <v>-0.02</v>
      </c>
    </row>
    <row r="48" spans="2:17" ht="16">
      <c r="F48" s="288" t="s">
        <v>313</v>
      </c>
      <c r="G48" s="289">
        <v>0.5</v>
      </c>
      <c r="H48" s="289">
        <v>0.1</v>
      </c>
      <c r="I48" s="289">
        <v>0.05</v>
      </c>
      <c r="J48" s="289">
        <v>0.05</v>
      </c>
      <c r="K48" s="289">
        <v>0.05</v>
      </c>
      <c r="L48" s="290">
        <v>0</v>
      </c>
      <c r="M48" s="290">
        <v>0</v>
      </c>
      <c r="N48" s="290">
        <v>0</v>
      </c>
      <c r="O48" s="290">
        <v>0</v>
      </c>
      <c r="P48" s="291">
        <v>0</v>
      </c>
    </row>
    <row r="49" spans="2:19" ht="16">
      <c r="F49" s="288" t="s">
        <v>314</v>
      </c>
      <c r="G49" s="289">
        <v>0.25</v>
      </c>
      <c r="H49" s="289">
        <v>0.1</v>
      </c>
      <c r="I49" s="289">
        <v>0.02</v>
      </c>
      <c r="J49" s="289">
        <v>0</v>
      </c>
      <c r="K49" s="289">
        <v>0</v>
      </c>
      <c r="L49" s="289">
        <v>0</v>
      </c>
      <c r="M49" s="289">
        <v>0</v>
      </c>
      <c r="N49" s="289">
        <v>0</v>
      </c>
      <c r="O49" s="289">
        <v>0</v>
      </c>
      <c r="P49" s="292">
        <v>0</v>
      </c>
    </row>
    <row r="50" spans="2:19" ht="16">
      <c r="F50" s="288" t="s">
        <v>315</v>
      </c>
      <c r="G50" s="289">
        <v>0</v>
      </c>
      <c r="H50" s="289">
        <v>0</v>
      </c>
      <c r="I50" s="289">
        <v>-0.01</v>
      </c>
      <c r="J50" s="289">
        <v>-0.01</v>
      </c>
      <c r="K50" s="289">
        <v>-0.01</v>
      </c>
      <c r="L50" s="289">
        <v>-0.02</v>
      </c>
      <c r="M50" s="289">
        <v>-0.02</v>
      </c>
      <c r="N50" s="289">
        <v>-0.02</v>
      </c>
      <c r="O50" s="289">
        <v>-0.02</v>
      </c>
      <c r="P50" s="292">
        <v>-0.03</v>
      </c>
    </row>
    <row r="51" spans="2:19" ht="16">
      <c r="F51" s="288" t="s">
        <v>316</v>
      </c>
      <c r="G51" s="289">
        <v>0.2</v>
      </c>
      <c r="H51" s="289">
        <v>0.1</v>
      </c>
      <c r="I51" s="289">
        <v>0.08</v>
      </c>
      <c r="J51" s="289">
        <v>0.08</v>
      </c>
      <c r="K51" s="289">
        <v>0.08</v>
      </c>
      <c r="L51" s="290">
        <v>7.0000000000000007E-2</v>
      </c>
      <c r="M51" s="290">
        <v>7.0000000000000007E-2</v>
      </c>
      <c r="N51" s="290">
        <v>7.0000000000000007E-2</v>
      </c>
      <c r="O51" s="290">
        <v>0.06</v>
      </c>
      <c r="P51" s="291">
        <v>0.05</v>
      </c>
    </row>
    <row r="52" spans="2:19">
      <c r="F52" s="293"/>
      <c r="G52" s="279"/>
      <c r="H52" s="279"/>
      <c r="I52" s="279"/>
      <c r="J52" s="279"/>
      <c r="K52" s="279"/>
      <c r="L52" s="280"/>
      <c r="M52" s="280"/>
      <c r="N52" s="280"/>
      <c r="O52" s="280"/>
      <c r="P52" s="294"/>
    </row>
    <row r="53" spans="2:19" ht="16">
      <c r="F53" s="295" t="s">
        <v>388</v>
      </c>
      <c r="G53" s="289"/>
      <c r="H53" s="289"/>
      <c r="I53" s="289"/>
      <c r="J53" s="289"/>
      <c r="K53" s="289"/>
      <c r="L53" s="155"/>
      <c r="M53" s="155"/>
      <c r="N53" s="155"/>
      <c r="O53" s="155"/>
      <c r="P53" s="156"/>
    </row>
    <row r="54" spans="2:19" ht="16">
      <c r="F54" s="288" t="s">
        <v>317</v>
      </c>
      <c r="G54" s="289">
        <v>0.1</v>
      </c>
      <c r="H54" s="289">
        <v>0.1</v>
      </c>
      <c r="I54" s="289">
        <v>7.0000000000000007E-2</v>
      </c>
      <c r="J54" s="289">
        <v>0.05</v>
      </c>
      <c r="K54" s="289">
        <v>0.05</v>
      </c>
      <c r="L54" s="290">
        <v>0.04</v>
      </c>
      <c r="M54" s="290">
        <v>0.04</v>
      </c>
      <c r="N54" s="290">
        <v>0.03</v>
      </c>
      <c r="O54" s="290">
        <v>0.03</v>
      </c>
      <c r="P54" s="291">
        <v>0.02</v>
      </c>
    </row>
    <row r="55" spans="2:19" ht="16">
      <c r="F55" s="288" t="s">
        <v>318</v>
      </c>
      <c r="G55" s="289">
        <v>7.0000000000000007E-2</v>
      </c>
      <c r="H55" s="289">
        <v>7.0000000000000007E-2</v>
      </c>
      <c r="I55" s="289">
        <v>0.05</v>
      </c>
      <c r="J55" s="289">
        <v>0.04</v>
      </c>
      <c r="K55" s="289">
        <v>0.03</v>
      </c>
      <c r="L55" s="290">
        <v>0.03</v>
      </c>
      <c r="M55" s="290">
        <v>0.02</v>
      </c>
      <c r="N55" s="290">
        <v>0.02</v>
      </c>
      <c r="O55" s="290">
        <v>0.02</v>
      </c>
      <c r="P55" s="291">
        <v>0.02</v>
      </c>
    </row>
    <row r="56" spans="2:19" ht="16">
      <c r="F56" s="288" t="s">
        <v>319</v>
      </c>
      <c r="G56" s="289">
        <v>0.01</v>
      </c>
      <c r="H56" s="289">
        <v>0.01</v>
      </c>
      <c r="I56" s="289">
        <v>0.01</v>
      </c>
      <c r="J56" s="289">
        <v>0.01</v>
      </c>
      <c r="K56" s="289">
        <v>0.01</v>
      </c>
      <c r="L56" s="289">
        <v>0.01</v>
      </c>
      <c r="M56" s="289">
        <v>0.01</v>
      </c>
      <c r="N56" s="289">
        <v>0.01</v>
      </c>
      <c r="O56" s="289">
        <v>0.01</v>
      </c>
      <c r="P56" s="292">
        <v>0.01</v>
      </c>
    </row>
    <row r="57" spans="2:19" ht="16">
      <c r="F57" s="288" t="s">
        <v>316</v>
      </c>
      <c r="G57" s="289">
        <v>0.03</v>
      </c>
      <c r="H57" s="289">
        <v>0.03</v>
      </c>
      <c r="I57" s="289">
        <v>0.03</v>
      </c>
      <c r="J57" s="289">
        <v>0.03</v>
      </c>
      <c r="K57" s="289">
        <v>0.03</v>
      </c>
      <c r="L57" s="290">
        <v>0.03</v>
      </c>
      <c r="M57" s="290">
        <v>0.03</v>
      </c>
      <c r="N57" s="290">
        <v>0.03</v>
      </c>
      <c r="O57" s="290">
        <v>0.02</v>
      </c>
      <c r="P57" s="291">
        <v>0.02</v>
      </c>
    </row>
    <row r="58" spans="2:19">
      <c r="F58" s="293"/>
      <c r="G58" s="281"/>
      <c r="H58" s="281"/>
      <c r="I58" s="281"/>
      <c r="J58" s="281"/>
      <c r="K58" s="281"/>
      <c r="L58" s="280"/>
      <c r="M58" s="280"/>
      <c r="N58" s="280"/>
      <c r="O58" s="280"/>
      <c r="P58" s="294"/>
    </row>
    <row r="59" spans="2:19" ht="16">
      <c r="F59" s="295" t="s">
        <v>320</v>
      </c>
      <c r="G59" s="296"/>
      <c r="H59" s="296"/>
      <c r="I59" s="296"/>
      <c r="J59" s="296"/>
      <c r="K59" s="296"/>
      <c r="L59" s="155"/>
      <c r="M59" s="155"/>
      <c r="N59" s="155"/>
      <c r="O59" s="155"/>
      <c r="P59" s="156"/>
      <c r="Q59" s="82"/>
      <c r="S59" s="334"/>
    </row>
    <row r="60" spans="2:19" ht="16">
      <c r="F60" s="288" t="s">
        <v>321</v>
      </c>
      <c r="G60" s="297">
        <f t="shared" ref="G60:P60" si="32">G67</f>
        <v>1.5738637187386735</v>
      </c>
      <c r="H60" s="297">
        <f t="shared" si="32"/>
        <v>1.6525569046756072</v>
      </c>
      <c r="I60" s="297">
        <f t="shared" si="32"/>
        <v>1.7021336118158754</v>
      </c>
      <c r="J60" s="297">
        <f t="shared" si="32"/>
        <v>1.7531976201703516</v>
      </c>
      <c r="K60" s="297">
        <f t="shared" si="32"/>
        <v>1.8057935487754622</v>
      </c>
      <c r="L60" s="297">
        <f t="shared" si="32"/>
        <v>1.8419094197509713</v>
      </c>
      <c r="M60" s="297">
        <f t="shared" si="32"/>
        <v>1.8787476081459908</v>
      </c>
      <c r="N60" s="297">
        <f t="shared" si="32"/>
        <v>1.9163225603089107</v>
      </c>
      <c r="O60" s="297">
        <f t="shared" si="32"/>
        <v>1.954649011515089</v>
      </c>
      <c r="P60" s="298">
        <f t="shared" si="32"/>
        <v>1.9937419917453907</v>
      </c>
      <c r="Q60" s="82"/>
      <c r="S60" s="334"/>
    </row>
    <row r="61" spans="2:19" ht="17" thickBot="1">
      <c r="F61" s="299" t="s">
        <v>322</v>
      </c>
      <c r="G61" s="300">
        <v>0.06</v>
      </c>
      <c r="H61" s="300">
        <v>0.05</v>
      </c>
      <c r="I61" s="301">
        <v>0.03</v>
      </c>
      <c r="J61" s="301">
        <v>0.03</v>
      </c>
      <c r="K61" s="300">
        <v>0.03</v>
      </c>
      <c r="L61" s="302">
        <v>0.02</v>
      </c>
      <c r="M61" s="302">
        <v>0.02</v>
      </c>
      <c r="N61" s="302">
        <v>0.02</v>
      </c>
      <c r="O61" s="302">
        <v>0.02</v>
      </c>
      <c r="P61" s="303">
        <v>0.02</v>
      </c>
      <c r="Q61" s="115"/>
      <c r="S61" s="83"/>
    </row>
    <row r="62" spans="2:19">
      <c r="F62" s="81"/>
      <c r="G62" s="64"/>
      <c r="H62" s="64"/>
      <c r="I62" s="64"/>
      <c r="J62" s="64"/>
      <c r="K62" s="64"/>
      <c r="Q62" s="115"/>
      <c r="S62" s="83"/>
    </row>
    <row r="63" spans="2:19" ht="16" thickBot="1">
      <c r="Q63" s="115"/>
      <c r="S63" s="83"/>
    </row>
    <row r="64" spans="2:19" ht="32">
      <c r="B64" s="322" t="s">
        <v>323</v>
      </c>
      <c r="C64" s="215">
        <v>2022</v>
      </c>
      <c r="D64" s="215">
        <v>2023</v>
      </c>
      <c r="E64" s="215">
        <v>2024</v>
      </c>
      <c r="F64" s="329">
        <v>2025</v>
      </c>
      <c r="G64" s="215" t="s">
        <v>105</v>
      </c>
      <c r="H64" s="323" t="s">
        <v>106</v>
      </c>
      <c r="I64" s="215" t="s">
        <v>107</v>
      </c>
      <c r="J64" s="215" t="s">
        <v>108</v>
      </c>
      <c r="K64" s="215" t="s">
        <v>109</v>
      </c>
      <c r="L64" s="215" t="s">
        <v>374</v>
      </c>
      <c r="M64" s="215" t="s">
        <v>375</v>
      </c>
      <c r="N64" s="215" t="s">
        <v>376</v>
      </c>
      <c r="O64" s="215" t="s">
        <v>377</v>
      </c>
      <c r="P64" s="216" t="s">
        <v>378</v>
      </c>
      <c r="Q64" s="54"/>
      <c r="S64" s="83"/>
    </row>
    <row r="65" spans="2:19" ht="16">
      <c r="B65" s="288" t="s">
        <v>324</v>
      </c>
      <c r="C65" s="296">
        <f t="shared" ref="C65:P65" si="33">C18</f>
        <v>561</v>
      </c>
      <c r="D65" s="296">
        <f t="shared" si="33"/>
        <v>600</v>
      </c>
      <c r="E65" s="296">
        <f t="shared" si="33"/>
        <v>583</v>
      </c>
      <c r="F65" s="330">
        <f t="shared" si="33"/>
        <v>535</v>
      </c>
      <c r="G65" s="296">
        <f t="shared" si="33"/>
        <v>626</v>
      </c>
      <c r="H65" s="296">
        <f t="shared" si="33"/>
        <v>676</v>
      </c>
      <c r="I65" s="296">
        <f t="shared" si="33"/>
        <v>710</v>
      </c>
      <c r="J65" s="296">
        <f t="shared" si="33"/>
        <v>741</v>
      </c>
      <c r="K65" s="296">
        <f t="shared" si="33"/>
        <v>774</v>
      </c>
      <c r="L65" s="296">
        <f t="shared" si="33"/>
        <v>802</v>
      </c>
      <c r="M65" s="296">
        <f t="shared" si="33"/>
        <v>830</v>
      </c>
      <c r="N65" s="296">
        <f t="shared" si="33"/>
        <v>859</v>
      </c>
      <c r="O65" s="296">
        <f t="shared" si="33"/>
        <v>885</v>
      </c>
      <c r="P65" s="324">
        <f t="shared" si="33"/>
        <v>906</v>
      </c>
      <c r="Q65" s="84"/>
      <c r="S65" s="83"/>
    </row>
    <row r="66" spans="2:19" ht="16">
      <c r="B66" s="288" t="s">
        <v>325</v>
      </c>
      <c r="C66" s="296">
        <v>3800</v>
      </c>
      <c r="D66" s="296">
        <f t="shared" ref="D66:K66" si="34">C66+D65</f>
        <v>4400</v>
      </c>
      <c r="E66" s="296">
        <f t="shared" si="34"/>
        <v>4983</v>
      </c>
      <c r="F66" s="330">
        <f t="shared" si="34"/>
        <v>5518</v>
      </c>
      <c r="G66" s="325">
        <f t="shared" si="34"/>
        <v>6144</v>
      </c>
      <c r="H66" s="325">
        <f t="shared" si="34"/>
        <v>6820</v>
      </c>
      <c r="I66" s="325">
        <f t="shared" si="34"/>
        <v>7530</v>
      </c>
      <c r="J66" s="325">
        <f t="shared" si="34"/>
        <v>8271</v>
      </c>
      <c r="K66" s="325">
        <f t="shared" si="34"/>
        <v>9045</v>
      </c>
      <c r="L66" s="325">
        <f t="shared" ref="L66" si="35">K66+L65</f>
        <v>9847</v>
      </c>
      <c r="M66" s="325">
        <f t="shared" ref="M66" si="36">L66+M65</f>
        <v>10677</v>
      </c>
      <c r="N66" s="325">
        <f t="shared" ref="N66" si="37">M66+N65</f>
        <v>11536</v>
      </c>
      <c r="O66" s="325">
        <f t="shared" ref="O66" si="38">N66+O65</f>
        <v>12421</v>
      </c>
      <c r="P66" s="326">
        <f t="shared" ref="P66" si="39">O66+P65</f>
        <v>13327</v>
      </c>
      <c r="Q66" s="84"/>
      <c r="S66" s="83"/>
    </row>
    <row r="67" spans="2:19" ht="33" thickBot="1">
      <c r="B67" s="299" t="s">
        <v>326</v>
      </c>
      <c r="C67" s="327">
        <f>C5/C66</f>
        <v>1.5113421052631579</v>
      </c>
      <c r="D67" s="327">
        <f>D5/D66</f>
        <v>1.27725</v>
      </c>
      <c r="E67" s="327">
        <f>E5/E66</f>
        <v>1.3032711218141682</v>
      </c>
      <c r="F67" s="331">
        <f>F5/F66</f>
        <v>1.484777093149692</v>
      </c>
      <c r="G67" s="327">
        <f t="shared" ref="G67:P67" si="40">F67*(1+G61)</f>
        <v>1.5738637187386735</v>
      </c>
      <c r="H67" s="327">
        <f t="shared" si="40"/>
        <v>1.6525569046756072</v>
      </c>
      <c r="I67" s="327">
        <f t="shared" si="40"/>
        <v>1.7021336118158754</v>
      </c>
      <c r="J67" s="327">
        <f t="shared" si="40"/>
        <v>1.7531976201703516</v>
      </c>
      <c r="K67" s="327">
        <f t="shared" si="40"/>
        <v>1.8057935487754622</v>
      </c>
      <c r="L67" s="327">
        <f t="shared" si="40"/>
        <v>1.8419094197509713</v>
      </c>
      <c r="M67" s="327">
        <f t="shared" si="40"/>
        <v>1.8787476081459908</v>
      </c>
      <c r="N67" s="327">
        <f t="shared" si="40"/>
        <v>1.9163225603089107</v>
      </c>
      <c r="O67" s="327">
        <f t="shared" si="40"/>
        <v>1.954649011515089</v>
      </c>
      <c r="P67" s="328">
        <f t="shared" si="40"/>
        <v>1.9937419917453907</v>
      </c>
      <c r="Q67" s="115"/>
      <c r="S67" s="83"/>
    </row>
    <row r="68" spans="2:19">
      <c r="Q68" s="81"/>
      <c r="S68" s="81"/>
    </row>
    <row r="69" spans="2:19">
      <c r="Q69" s="81"/>
      <c r="S69" s="81"/>
    </row>
    <row r="70" spans="2:19">
      <c r="Q70" s="115"/>
      <c r="S70" s="83"/>
    </row>
    <row r="71" spans="2:19">
      <c r="Q71" s="115"/>
      <c r="S71" s="83"/>
    </row>
    <row r="72" spans="2:19">
      <c r="Q72" s="84"/>
      <c r="S72" s="83"/>
    </row>
    <row r="73" spans="2:19">
      <c r="F73" s="82"/>
      <c r="G73" s="64"/>
      <c r="H73" s="64"/>
      <c r="I73" s="64"/>
      <c r="J73" s="64"/>
      <c r="K73" s="64"/>
      <c r="Q73" s="54"/>
      <c r="S73" s="83"/>
    </row>
    <row r="74" spans="2:19">
      <c r="F74" s="81"/>
      <c r="G74" s="85"/>
      <c r="H74" s="85"/>
      <c r="I74" s="85"/>
      <c r="J74" s="85"/>
      <c r="K74" s="85"/>
      <c r="Q74" s="81"/>
      <c r="S74" s="81"/>
    </row>
    <row r="75" spans="2:19">
      <c r="Q75" s="81"/>
      <c r="S75" s="81"/>
    </row>
    <row r="76" spans="2:19">
      <c r="Q76" s="88"/>
      <c r="S76" s="83"/>
    </row>
    <row r="77" spans="2:19">
      <c r="Q77" s="115"/>
      <c r="S77" s="83"/>
    </row>
    <row r="78" spans="2:19">
      <c r="Q78" s="81"/>
      <c r="S78" s="81"/>
    </row>
    <row r="79" spans="2:19">
      <c r="Q79" s="81"/>
      <c r="S79" s="81"/>
    </row>
    <row r="80" spans="2:19">
      <c r="Q80" s="116"/>
      <c r="S80" s="83"/>
    </row>
    <row r="85" spans="2:17">
      <c r="Q85" s="64"/>
    </row>
    <row r="86" spans="2:17">
      <c r="Q86" s="87"/>
    </row>
    <row r="87" spans="2:17">
      <c r="Q87" s="88"/>
    </row>
    <row r="88" spans="2:17">
      <c r="B88" s="82"/>
      <c r="C88" s="64"/>
      <c r="D88" s="64"/>
      <c r="E88" s="64"/>
      <c r="F88" s="64"/>
      <c r="G88" s="64"/>
      <c r="H88" s="81"/>
      <c r="I88" s="64"/>
      <c r="J88" s="64"/>
      <c r="K88" s="64"/>
    </row>
    <row r="89" spans="2:17">
      <c r="B89" s="81"/>
      <c r="C89" s="64"/>
      <c r="D89" s="64"/>
      <c r="E89" s="64"/>
      <c r="F89" s="64"/>
      <c r="G89" s="84"/>
      <c r="H89" s="84"/>
      <c r="I89" s="84"/>
      <c r="J89" s="84"/>
      <c r="K89" s="84"/>
    </row>
    <row r="90" spans="2:17">
      <c r="B90" s="81"/>
      <c r="C90" s="64"/>
      <c r="D90" s="64"/>
      <c r="E90" s="64"/>
      <c r="F90" s="64"/>
      <c r="G90" s="84"/>
      <c r="H90" s="84"/>
      <c r="I90" s="84"/>
      <c r="J90" s="84"/>
      <c r="K90" s="84"/>
    </row>
    <row r="91" spans="2:17">
      <c r="B91" s="81"/>
      <c r="C91" s="64"/>
      <c r="D91" s="64"/>
      <c r="E91" s="64"/>
      <c r="F91" s="64"/>
      <c r="G91" s="89"/>
      <c r="H91" s="89"/>
      <c r="I91" s="89"/>
      <c r="J91" s="89"/>
      <c r="K91" s="89"/>
    </row>
  </sheetData>
  <mergeCells count="2">
    <mergeCell ref="C2:F2"/>
    <mergeCell ref="G2:P2"/>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54776-FCBC-E840-84BA-025F560FB087}">
  <sheetPr>
    <tabColor theme="4"/>
  </sheetPr>
  <dimension ref="A4:N68"/>
  <sheetViews>
    <sheetView zoomScale="96" workbookViewId="0">
      <selection activeCell="C12" sqref="C12"/>
    </sheetView>
  </sheetViews>
  <sheetFormatPr baseColWidth="10" defaultColWidth="11.5" defaultRowHeight="15"/>
  <cols>
    <col min="2" max="2" width="45.1640625" bestFit="1" customWidth="1"/>
    <col min="3" max="5" width="11.6640625" bestFit="1" customWidth="1"/>
    <col min="6" max="6" width="12.83203125" customWidth="1"/>
    <col min="7" max="7" width="14" customWidth="1"/>
    <col min="8" max="8" width="12.5" customWidth="1"/>
    <col min="9" max="9" width="13.33203125" customWidth="1"/>
    <col min="10" max="10" width="13.1640625" customWidth="1"/>
    <col min="11" max="12" width="14.1640625" customWidth="1"/>
    <col min="13" max="13" width="13.5" customWidth="1"/>
  </cols>
  <sheetData>
    <row r="4" spans="1:14" ht="16" thickBot="1"/>
    <row r="5" spans="1:14" ht="16" thickBot="1">
      <c r="B5" s="538" t="s">
        <v>267</v>
      </c>
      <c r="C5" s="522" t="s">
        <v>233</v>
      </c>
      <c r="D5" s="522"/>
      <c r="E5" s="522"/>
      <c r="F5" s="522"/>
      <c r="G5" s="522"/>
      <c r="H5" s="522"/>
      <c r="I5" s="522"/>
      <c r="J5" s="522"/>
      <c r="K5" s="522"/>
      <c r="L5" s="523"/>
    </row>
    <row r="6" spans="1:14">
      <c r="A6" s="70"/>
      <c r="B6" s="539"/>
      <c r="C6" s="195" t="s">
        <v>105</v>
      </c>
      <c r="D6" s="195" t="s">
        <v>106</v>
      </c>
      <c r="E6" s="195" t="s">
        <v>107</v>
      </c>
      <c r="F6" s="195" t="s">
        <v>108</v>
      </c>
      <c r="G6" s="195" t="s">
        <v>109</v>
      </c>
      <c r="H6" s="196" t="s">
        <v>374</v>
      </c>
      <c r="I6" s="196" t="s">
        <v>375</v>
      </c>
      <c r="J6" s="196" t="s">
        <v>376</v>
      </c>
      <c r="K6" s="196" t="s">
        <v>377</v>
      </c>
      <c r="L6" s="197" t="s">
        <v>378</v>
      </c>
      <c r="M6" s="81"/>
      <c r="N6" s="193" t="s">
        <v>234</v>
      </c>
    </row>
    <row r="7" spans="1:14" ht="16" thickBot="1">
      <c r="A7" s="71"/>
      <c r="B7" s="181" t="s">
        <v>3</v>
      </c>
      <c r="C7" s="152">
        <f>'ASML Revenue Model'!G7</f>
        <v>40676.557310632765</v>
      </c>
      <c r="D7" s="152">
        <f>'ASML Revenue Model'!H7</f>
        <v>47267.582696168203</v>
      </c>
      <c r="E7" s="152">
        <f>'ASML Revenue Model'!I7</f>
        <v>53461.654201933277</v>
      </c>
      <c r="F7" s="152">
        <f>'ASML Revenue Model'!J7</f>
        <v>59100.617206791845</v>
      </c>
      <c r="G7" s="152">
        <f>'ASML Revenue Model'!K7</f>
        <v>65320.659490075144</v>
      </c>
      <c r="H7" s="152">
        <f>'ASML Revenue Model'!L7</f>
        <v>70804.676929319598</v>
      </c>
      <c r="I7" s="152">
        <f>'ASML Revenue Model'!M7</f>
        <v>75637.40101938197</v>
      </c>
      <c r="J7" s="152">
        <f>'ASML Revenue Model'!N7</f>
        <v>80264.154658832602</v>
      </c>
      <c r="K7" s="152">
        <f>'ASML Revenue Model'!O7</f>
        <v>84764.839203526848</v>
      </c>
      <c r="L7" s="153">
        <f>'ASML Revenue Model'!P7</f>
        <v>89086.048379734639</v>
      </c>
      <c r="M7" s="91"/>
      <c r="N7" s="194">
        <v>0.25800000000000001</v>
      </c>
    </row>
    <row r="8" spans="1:14">
      <c r="A8" s="71" t="s">
        <v>236</v>
      </c>
      <c r="B8" s="181" t="s">
        <v>268</v>
      </c>
      <c r="C8" s="152">
        <f>'Cost Analysis'!G12</f>
        <v>19512.621232336893</v>
      </c>
      <c r="D8" s="152">
        <f>'Cost Analysis'!H12</f>
        <v>22579.813370918047</v>
      </c>
      <c r="E8" s="152">
        <f>'Cost Analysis'!I12</f>
        <v>25431.809698944729</v>
      </c>
      <c r="F8" s="152">
        <f>'Cost Analysis'!J12</f>
        <v>27996.073797483125</v>
      </c>
      <c r="G8" s="152">
        <f>'Cost Analysis'!K12</f>
        <v>30811.878235185406</v>
      </c>
      <c r="H8" s="152">
        <f>'Cost Analysis'!L12</f>
        <v>33257.090246829168</v>
      </c>
      <c r="I8" s="152">
        <f>'Cost Analysis'!M12</f>
        <v>35375.755061373493</v>
      </c>
      <c r="J8" s="152">
        <f>'Cost Analysis'!N12</f>
        <v>37379.168152376849</v>
      </c>
      <c r="K8" s="152">
        <f>'Cost Analysis'!O12</f>
        <v>39305.615751896774</v>
      </c>
      <c r="L8" s="153">
        <f>'Cost Analysis'!P12</f>
        <v>41131.196497229961</v>
      </c>
      <c r="M8" s="91"/>
    </row>
    <row r="9" spans="1:14" ht="16">
      <c r="A9" s="71" t="s">
        <v>238</v>
      </c>
      <c r="B9" s="182" t="s">
        <v>0</v>
      </c>
      <c r="C9" s="152">
        <f>C7-C8</f>
        <v>21163.936078295872</v>
      </c>
      <c r="D9" s="152">
        <f t="shared" ref="D9:L9" si="0">D7-D8</f>
        <v>24687.769325250156</v>
      </c>
      <c r="E9" s="152">
        <f t="shared" si="0"/>
        <v>28029.844502988548</v>
      </c>
      <c r="F9" s="152">
        <f t="shared" si="0"/>
        <v>31104.543409308721</v>
      </c>
      <c r="G9" s="152">
        <f t="shared" si="0"/>
        <v>34508.781254889735</v>
      </c>
      <c r="H9" s="152">
        <f t="shared" si="0"/>
        <v>37547.58668249043</v>
      </c>
      <c r="I9" s="152">
        <f t="shared" si="0"/>
        <v>40261.645958008477</v>
      </c>
      <c r="J9" s="152">
        <f t="shared" si="0"/>
        <v>42884.986506455753</v>
      </c>
      <c r="K9" s="152">
        <f t="shared" si="0"/>
        <v>45459.223451630074</v>
      </c>
      <c r="L9" s="153">
        <f t="shared" si="0"/>
        <v>47954.851882504678</v>
      </c>
      <c r="M9" s="91"/>
    </row>
    <row r="10" spans="1:14">
      <c r="A10" s="71"/>
      <c r="B10" s="183"/>
      <c r="C10" s="152"/>
      <c r="D10" s="152"/>
      <c r="E10" s="152"/>
      <c r="F10" s="152"/>
      <c r="G10" s="152"/>
      <c r="H10" s="155"/>
      <c r="I10" s="155"/>
      <c r="J10" s="155"/>
      <c r="K10" s="155"/>
      <c r="L10" s="156"/>
    </row>
    <row r="11" spans="1:14">
      <c r="A11" s="71" t="s">
        <v>236</v>
      </c>
      <c r="B11" s="181" t="s">
        <v>269</v>
      </c>
      <c r="C11" s="152">
        <f>'Cost Analysis'!G16</f>
        <v>1525.5065611385164</v>
      </c>
      <c r="D11" s="152">
        <f>'Cost Analysis'!H16</f>
        <v>1725.4244123885137</v>
      </c>
      <c r="E11" s="152">
        <f>'Cost Analysis'!I16</f>
        <v>1898.0670262390595</v>
      </c>
      <c r="F11" s="152">
        <f>'Cost Analysis'!J16</f>
        <v>2039.1684024325564</v>
      </c>
      <c r="G11" s="152">
        <f>'Cost Analysis'!K16</f>
        <v>2188.4599464239727</v>
      </c>
      <c r="H11" s="152">
        <f>'Cost Analysis'!L16</f>
        <v>2301.3881436720881</v>
      </c>
      <c r="I11" s="152">
        <f>'Cost Analysis'!M16</f>
        <v>2382.8303933883558</v>
      </c>
      <c r="J11" s="152">
        <f>'Cost Analysis'!N16</f>
        <v>2448.3244092406708</v>
      </c>
      <c r="K11" s="152">
        <f>'Cost Analysis'!O16</f>
        <v>2500.8454590607639</v>
      </c>
      <c r="L11" s="153">
        <f>'Cost Analysis'!P16</f>
        <v>2539.2494932142281</v>
      </c>
      <c r="M11" s="91"/>
    </row>
    <row r="12" spans="1:14">
      <c r="A12" s="71" t="s">
        <v>236</v>
      </c>
      <c r="B12" s="181" t="s">
        <v>270</v>
      </c>
      <c r="C12" s="152">
        <f>'Cost Analysis'!G20</f>
        <v>4516.0853139030942</v>
      </c>
      <c r="D12" s="152">
        <f>'Cost Analysis'!H20</f>
        <v>5247.8491335368262</v>
      </c>
      <c r="E12" s="152">
        <f>'Cost Analysis'!I20</f>
        <v>5935.5414361776702</v>
      </c>
      <c r="F12" s="152">
        <f>'Cost Analysis'!J20</f>
        <v>6561.6032195633516</v>
      </c>
      <c r="G12" s="152">
        <f>'Cost Analysis'!K20</f>
        <v>7252.1789089678541</v>
      </c>
      <c r="H12" s="152">
        <f>'Cost Analysis'!L20</f>
        <v>7861.0379731563189</v>
      </c>
      <c r="I12" s="152">
        <f>'Cost Analysis'!M20</f>
        <v>8397.5876649752809</v>
      </c>
      <c r="J12" s="152">
        <f>'Cost Analysis'!N20</f>
        <v>8911.2696366968376</v>
      </c>
      <c r="K12" s="152">
        <f>'Cost Analysis'!O20</f>
        <v>9410.9548784832969</v>
      </c>
      <c r="L12" s="153">
        <f>'Cost Analysis'!P20</f>
        <v>9890.7139974752608</v>
      </c>
      <c r="M12" s="91"/>
    </row>
    <row r="13" spans="1:14">
      <c r="A13" s="71"/>
      <c r="B13" s="183"/>
      <c r="C13" s="152"/>
      <c r="D13" s="152"/>
      <c r="E13" s="152"/>
      <c r="F13" s="152"/>
      <c r="G13" s="152"/>
      <c r="H13" s="155"/>
      <c r="I13" s="155"/>
      <c r="J13" s="155"/>
      <c r="K13" s="155"/>
      <c r="L13" s="156"/>
    </row>
    <row r="14" spans="1:14" ht="16">
      <c r="A14" s="71" t="s">
        <v>238</v>
      </c>
      <c r="B14" s="182" t="s">
        <v>271</v>
      </c>
      <c r="C14" s="152">
        <f>C9-C11-C12</f>
        <v>15122.344203254259</v>
      </c>
      <c r="D14" s="152">
        <f t="shared" ref="D14:L14" si="1">D9-D11-D12</f>
        <v>17714.495779324814</v>
      </c>
      <c r="E14" s="152">
        <f t="shared" si="1"/>
        <v>20196.236040571817</v>
      </c>
      <c r="F14" s="152">
        <f t="shared" si="1"/>
        <v>22503.771787312813</v>
      </c>
      <c r="G14" s="152">
        <f t="shared" si="1"/>
        <v>25068.142399497909</v>
      </c>
      <c r="H14" s="152">
        <f t="shared" si="1"/>
        <v>27385.16056566202</v>
      </c>
      <c r="I14" s="152">
        <f t="shared" si="1"/>
        <v>29481.227899644837</v>
      </c>
      <c r="J14" s="152">
        <f t="shared" si="1"/>
        <v>31525.392460518247</v>
      </c>
      <c r="K14" s="152">
        <f t="shared" si="1"/>
        <v>33547.423114086014</v>
      </c>
      <c r="L14" s="153">
        <f t="shared" si="1"/>
        <v>35524.888391815184</v>
      </c>
      <c r="M14" s="91"/>
    </row>
    <row r="15" spans="1:14">
      <c r="A15" s="71"/>
      <c r="B15" s="183" t="s">
        <v>272</v>
      </c>
      <c r="C15" s="152"/>
      <c r="D15" s="152"/>
      <c r="E15" s="152"/>
      <c r="F15" s="152"/>
      <c r="G15" s="152"/>
      <c r="H15" s="155"/>
      <c r="I15" s="155"/>
      <c r="J15" s="155"/>
      <c r="K15" s="155"/>
      <c r="L15" s="156"/>
    </row>
    <row r="16" spans="1:14">
      <c r="A16" s="71" t="s">
        <v>236</v>
      </c>
      <c r="B16" s="181" t="s">
        <v>245</v>
      </c>
      <c r="C16" s="152">
        <f>'Statement of Profit or Loss'!$E$25</f>
        <v>-118.3</v>
      </c>
      <c r="D16" s="152">
        <f>'Statement of Profit or Loss'!$E$25</f>
        <v>-118.3</v>
      </c>
      <c r="E16" s="152">
        <f>'Statement of Profit or Loss'!$E$25</f>
        <v>-118.3</v>
      </c>
      <c r="F16" s="152">
        <f>'Statement of Profit or Loss'!$E$25</f>
        <v>-118.3</v>
      </c>
      <c r="G16" s="152">
        <f>'Statement of Profit or Loss'!$E$25</f>
        <v>-118.3</v>
      </c>
      <c r="H16" s="152">
        <f>'Statement of Profit or Loss'!$E$25</f>
        <v>-118.3</v>
      </c>
      <c r="I16" s="152">
        <f>'Statement of Profit or Loss'!$E$25</f>
        <v>-118.3</v>
      </c>
      <c r="J16" s="152">
        <f>'Statement of Profit or Loss'!$E$25</f>
        <v>-118.3</v>
      </c>
      <c r="K16" s="152">
        <f>'Statement of Profit or Loss'!$E$25</f>
        <v>-118.3</v>
      </c>
      <c r="L16" s="153">
        <f>'Statement of Profit or Loss'!$E$25</f>
        <v>-118.3</v>
      </c>
      <c r="M16" s="91"/>
    </row>
    <row r="17" spans="1:13" ht="16">
      <c r="A17" s="71" t="s">
        <v>238</v>
      </c>
      <c r="B17" s="182" t="s">
        <v>254</v>
      </c>
      <c r="C17" s="152">
        <f>SUM(C14:C16)</f>
        <v>15004.04420325426</v>
      </c>
      <c r="D17" s="152">
        <f t="shared" ref="D17:L17" si="2">SUM(D14:D16)</f>
        <v>17596.195779324815</v>
      </c>
      <c r="E17" s="152">
        <f t="shared" si="2"/>
        <v>20077.936040571818</v>
      </c>
      <c r="F17" s="152">
        <f t="shared" si="2"/>
        <v>22385.471787312814</v>
      </c>
      <c r="G17" s="152">
        <f t="shared" si="2"/>
        <v>24949.842399497909</v>
      </c>
      <c r="H17" s="152">
        <f t="shared" si="2"/>
        <v>27266.86056566202</v>
      </c>
      <c r="I17" s="152">
        <f t="shared" si="2"/>
        <v>29362.927899644837</v>
      </c>
      <c r="J17" s="152">
        <f t="shared" si="2"/>
        <v>31407.092460518248</v>
      </c>
      <c r="K17" s="152">
        <f t="shared" si="2"/>
        <v>33429.123114086011</v>
      </c>
      <c r="L17" s="153">
        <f t="shared" si="2"/>
        <v>35406.588391815181</v>
      </c>
      <c r="M17" s="91"/>
    </row>
    <row r="18" spans="1:13">
      <c r="A18" s="71" t="s">
        <v>236</v>
      </c>
      <c r="B18" s="181" t="s">
        <v>4</v>
      </c>
      <c r="C18" s="152">
        <f t="shared" ref="C18:L18" si="3">C17*$N$7</f>
        <v>3871.0434044395993</v>
      </c>
      <c r="D18" s="152">
        <f t="shared" si="3"/>
        <v>4539.8185110658023</v>
      </c>
      <c r="E18" s="152">
        <f t="shared" si="3"/>
        <v>5180.1074984675288</v>
      </c>
      <c r="F18" s="152">
        <f t="shared" si="3"/>
        <v>5775.4517211267057</v>
      </c>
      <c r="G18" s="152">
        <f t="shared" si="3"/>
        <v>6437.0593390704607</v>
      </c>
      <c r="H18" s="152">
        <f t="shared" si="3"/>
        <v>7034.8500259408011</v>
      </c>
      <c r="I18" s="152">
        <f t="shared" si="3"/>
        <v>7575.6353981083685</v>
      </c>
      <c r="J18" s="152">
        <f t="shared" si="3"/>
        <v>8103.029854813708</v>
      </c>
      <c r="K18" s="152">
        <f t="shared" si="3"/>
        <v>8624.7137634341907</v>
      </c>
      <c r="L18" s="153">
        <f t="shared" si="3"/>
        <v>9134.8998050883165</v>
      </c>
      <c r="M18" s="91"/>
    </row>
    <row r="19" spans="1:13" ht="17" thickBot="1">
      <c r="A19" s="71" t="s">
        <v>238</v>
      </c>
      <c r="B19" s="184" t="s">
        <v>273</v>
      </c>
      <c r="C19" s="161">
        <f>C17-C18</f>
        <v>11133.000798814661</v>
      </c>
      <c r="D19" s="161">
        <f t="shared" ref="D19:L19" si="4">D17-D18</f>
        <v>13056.377268259013</v>
      </c>
      <c r="E19" s="161">
        <f t="shared" si="4"/>
        <v>14897.828542104289</v>
      </c>
      <c r="F19" s="161">
        <f t="shared" si="4"/>
        <v>16610.020066186109</v>
      </c>
      <c r="G19" s="161">
        <f t="shared" si="4"/>
        <v>18512.78306042745</v>
      </c>
      <c r="H19" s="161">
        <f t="shared" si="4"/>
        <v>20232.010539721217</v>
      </c>
      <c r="I19" s="161">
        <f t="shared" si="4"/>
        <v>21787.292501536467</v>
      </c>
      <c r="J19" s="161">
        <f t="shared" si="4"/>
        <v>23304.062605704541</v>
      </c>
      <c r="K19" s="161">
        <f t="shared" si="4"/>
        <v>24804.409350651818</v>
      </c>
      <c r="L19" s="162">
        <f t="shared" si="4"/>
        <v>26271.688586726865</v>
      </c>
      <c r="M19" s="91"/>
    </row>
    <row r="20" spans="1:13">
      <c r="B20" s="14"/>
    </row>
    <row r="21" spans="1:13" ht="15" customHeight="1">
      <c r="B21" s="14"/>
    </row>
    <row r="22" spans="1:13" ht="15" customHeight="1">
      <c r="B22" s="28"/>
    </row>
    <row r="23" spans="1:13" ht="16" thickBot="1">
      <c r="B23" s="11"/>
    </row>
    <row r="24" spans="1:13">
      <c r="B24" s="538" t="s">
        <v>274</v>
      </c>
      <c r="C24" s="522" t="s">
        <v>233</v>
      </c>
      <c r="D24" s="522"/>
      <c r="E24" s="522"/>
      <c r="F24" s="522"/>
      <c r="G24" s="522"/>
      <c r="H24" s="522"/>
      <c r="I24" s="522"/>
      <c r="J24" s="522"/>
      <c r="K24" s="522"/>
      <c r="L24" s="523"/>
    </row>
    <row r="25" spans="1:13">
      <c r="B25" s="539"/>
      <c r="C25" s="195" t="s">
        <v>105</v>
      </c>
      <c r="D25" s="195" t="s">
        <v>106</v>
      </c>
      <c r="E25" s="195" t="s">
        <v>107</v>
      </c>
      <c r="F25" s="195" t="s">
        <v>108</v>
      </c>
      <c r="G25" s="195" t="s">
        <v>109</v>
      </c>
      <c r="H25" s="196" t="s">
        <v>374</v>
      </c>
      <c r="I25" s="196" t="s">
        <v>375</v>
      </c>
      <c r="J25" s="196" t="s">
        <v>376</v>
      </c>
      <c r="K25" s="196" t="s">
        <v>377</v>
      </c>
      <c r="L25" s="197" t="s">
        <v>378</v>
      </c>
      <c r="M25" s="81"/>
    </row>
    <row r="26" spans="1:13">
      <c r="A26" s="70"/>
      <c r="B26" s="185" t="s">
        <v>275</v>
      </c>
      <c r="C26" s="152"/>
      <c r="D26" s="152"/>
      <c r="E26" s="152"/>
      <c r="F26" s="152"/>
      <c r="G26" s="152"/>
      <c r="H26" s="155"/>
      <c r="I26" s="155"/>
      <c r="J26" s="155"/>
      <c r="K26" s="155"/>
      <c r="L26" s="156"/>
    </row>
    <row r="27" spans="1:13">
      <c r="A27" s="70"/>
      <c r="B27" s="186" t="s">
        <v>255</v>
      </c>
      <c r="C27" s="152">
        <f>C19</f>
        <v>11133.000798814661</v>
      </c>
      <c r="D27" s="152">
        <f t="shared" ref="D27:L27" si="5">D19</f>
        <v>13056.377268259013</v>
      </c>
      <c r="E27" s="152">
        <f t="shared" si="5"/>
        <v>14897.828542104289</v>
      </c>
      <c r="F27" s="152">
        <f t="shared" si="5"/>
        <v>16610.020066186109</v>
      </c>
      <c r="G27" s="152">
        <f t="shared" si="5"/>
        <v>18512.78306042745</v>
      </c>
      <c r="H27" s="152">
        <f t="shared" si="5"/>
        <v>20232.010539721217</v>
      </c>
      <c r="I27" s="152">
        <f t="shared" si="5"/>
        <v>21787.292501536467</v>
      </c>
      <c r="J27" s="152">
        <f t="shared" si="5"/>
        <v>23304.062605704541</v>
      </c>
      <c r="K27" s="152">
        <f t="shared" si="5"/>
        <v>24804.409350651818</v>
      </c>
      <c r="L27" s="153">
        <f t="shared" si="5"/>
        <v>26271.688586726865</v>
      </c>
      <c r="M27" s="91"/>
    </row>
    <row r="28" spans="1:13">
      <c r="A28" s="72" t="s">
        <v>242</v>
      </c>
      <c r="B28" s="186" t="s">
        <v>182</v>
      </c>
      <c r="C28" s="152">
        <f>'Cost Analysis'!G32</f>
        <v>1140.5817590232316</v>
      </c>
      <c r="D28" s="152">
        <f>'Cost Analysis'!H32</f>
        <v>1325.3959081310691</v>
      </c>
      <c r="E28" s="152">
        <f>'Cost Analysis'!I32</f>
        <v>1499.0793622053516</v>
      </c>
      <c r="F28" s="152">
        <f>'Cost Analysis'!J32</f>
        <v>1657.1974225424608</v>
      </c>
      <c r="G28" s="152">
        <f>'Cost Analysis'!K32</f>
        <v>1831.6091043002891</v>
      </c>
      <c r="H28" s="152">
        <f>'Cost Analysis'!L32</f>
        <v>1985.3824487256904</v>
      </c>
      <c r="I28" s="152">
        <f>'Cost Analysis'!M32</f>
        <v>2120.8933500397611</v>
      </c>
      <c r="J28" s="152">
        <f>'Cost Analysis'!N32</f>
        <v>2250.6287837528862</v>
      </c>
      <c r="K28" s="152">
        <f>'Cost Analysis'!O32</f>
        <v>2376.8292056714386</v>
      </c>
      <c r="L28" s="153">
        <f>'Cost Analysis'!P32</f>
        <v>2497.9970893167456</v>
      </c>
      <c r="M28" s="91"/>
    </row>
    <row r="29" spans="1:13">
      <c r="A29" s="72" t="s">
        <v>236</v>
      </c>
      <c r="B29" s="186" t="s">
        <v>10</v>
      </c>
      <c r="C29" s="152">
        <f>'Balance Sheet'!F84</f>
        <v>4889.1997913145206</v>
      </c>
      <c r="D29" s="152">
        <f>'Balance Sheet'!G84</f>
        <v>1732.2025747031548</v>
      </c>
      <c r="E29" s="152">
        <f>'Balance Sheet'!H84</f>
        <v>1627.8782105327919</v>
      </c>
      <c r="F29" s="152">
        <f>'Balance Sheet'!I84</f>
        <v>1481.988865815656</v>
      </c>
      <c r="G29" s="152">
        <f>'Balance Sheet'!J84</f>
        <v>1634.7036504382195</v>
      </c>
      <c r="H29" s="152">
        <f>'Balance Sheet'!K84</f>
        <v>1441.2672645478669</v>
      </c>
      <c r="I29" s="152">
        <f>'Balance Sheet'!L84</f>
        <v>1270.0993581374132</v>
      </c>
      <c r="J29" s="152">
        <f>'Balance Sheet'!M84</f>
        <v>1215.9677892247128</v>
      </c>
      <c r="K29" s="152">
        <f>'Balance Sheet'!N84</f>
        <v>1182.8352798269043</v>
      </c>
      <c r="L29" s="153">
        <f>'Balance Sheet'!O84</f>
        <v>1135.6669445220105</v>
      </c>
      <c r="M29" s="91"/>
    </row>
    <row r="30" spans="1:13">
      <c r="A30" s="72" t="s">
        <v>242</v>
      </c>
      <c r="B30" s="186" t="s">
        <v>245</v>
      </c>
      <c r="C30" s="152">
        <f>-C16</f>
        <v>118.3</v>
      </c>
      <c r="D30" s="152">
        <f t="shared" ref="D30:L30" si="6">-D16</f>
        <v>118.3</v>
      </c>
      <c r="E30" s="152">
        <f t="shared" si="6"/>
        <v>118.3</v>
      </c>
      <c r="F30" s="152">
        <f t="shared" si="6"/>
        <v>118.3</v>
      </c>
      <c r="G30" s="152">
        <f t="shared" si="6"/>
        <v>118.3</v>
      </c>
      <c r="H30" s="152">
        <f t="shared" si="6"/>
        <v>118.3</v>
      </c>
      <c r="I30" s="152">
        <f t="shared" si="6"/>
        <v>118.3</v>
      </c>
      <c r="J30" s="152">
        <f t="shared" si="6"/>
        <v>118.3</v>
      </c>
      <c r="K30" s="152">
        <f t="shared" si="6"/>
        <v>118.3</v>
      </c>
      <c r="L30" s="153">
        <f t="shared" si="6"/>
        <v>118.3</v>
      </c>
      <c r="M30" s="91"/>
    </row>
    <row r="31" spans="1:13">
      <c r="A31" s="72" t="s">
        <v>238</v>
      </c>
      <c r="B31" s="168" t="s">
        <v>276</v>
      </c>
      <c r="C31" s="152">
        <f>C27+C28-C29+C30</f>
        <v>7502.6827665233714</v>
      </c>
      <c r="D31" s="152">
        <f t="shared" ref="D31:F31" si="7">D27+D28-D29+D30</f>
        <v>12767.870601686927</v>
      </c>
      <c r="E31" s="152">
        <f t="shared" si="7"/>
        <v>14887.32969377685</v>
      </c>
      <c r="F31" s="152">
        <f t="shared" si="7"/>
        <v>16903.528622912912</v>
      </c>
      <c r="G31" s="152">
        <f>G27+G28-G29+G30</f>
        <v>18827.988514289518</v>
      </c>
      <c r="H31" s="152">
        <f t="shared" ref="H31:L31" si="8">H27+H28-H29+H30</f>
        <v>20894.425723899039</v>
      </c>
      <c r="I31" s="152">
        <f t="shared" si="8"/>
        <v>22756.386493438815</v>
      </c>
      <c r="J31" s="152">
        <f t="shared" si="8"/>
        <v>24457.023600232715</v>
      </c>
      <c r="K31" s="152">
        <f t="shared" si="8"/>
        <v>26116.703276496351</v>
      </c>
      <c r="L31" s="153">
        <f t="shared" si="8"/>
        <v>27752.318731521598</v>
      </c>
      <c r="M31" s="91"/>
    </row>
    <row r="32" spans="1:13">
      <c r="A32" s="72"/>
      <c r="B32" s="186"/>
      <c r="C32" s="152"/>
      <c r="D32" s="152"/>
      <c r="E32" s="152"/>
      <c r="F32" s="152"/>
      <c r="G32" s="152"/>
      <c r="H32" s="155"/>
      <c r="I32" s="155"/>
      <c r="J32" s="155"/>
      <c r="K32" s="155"/>
      <c r="L32" s="156"/>
    </row>
    <row r="33" spans="1:13">
      <c r="A33" s="72"/>
      <c r="B33" s="186" t="s">
        <v>277</v>
      </c>
      <c r="C33" s="152"/>
      <c r="D33" s="152"/>
      <c r="E33" s="152"/>
      <c r="F33" s="152"/>
      <c r="G33" s="152"/>
      <c r="H33" s="155"/>
      <c r="I33" s="155"/>
      <c r="J33" s="155"/>
      <c r="K33" s="155"/>
      <c r="L33" s="156"/>
    </row>
    <row r="34" spans="1:13">
      <c r="A34" s="72" t="s">
        <v>236</v>
      </c>
      <c r="B34" s="168" t="s">
        <v>181</v>
      </c>
      <c r="C34" s="152">
        <f>'Cash Flow'!F79</f>
        <v>2644.6840010969445</v>
      </c>
      <c r="D34" s="152">
        <f>'Cash Flow'!G79</f>
        <v>3073.2153356155841</v>
      </c>
      <c r="E34" s="152">
        <f>'Cash Flow'!H79</f>
        <v>3475.9377609144749</v>
      </c>
      <c r="F34" s="152">
        <f>'Cash Flow'!I79</f>
        <v>3842.5684747145515</v>
      </c>
      <c r="G34" s="152">
        <f>'Cash Flow'!J79</f>
        <v>4246.9794524460876</v>
      </c>
      <c r="H34" s="152">
        <f>'Cash Flow'!K79</f>
        <v>4603.5360084138965</v>
      </c>
      <c r="I34" s="152">
        <f>'Cash Flow'!L79</f>
        <v>4917.7471641196134</v>
      </c>
      <c r="J34" s="152">
        <f>'Cash Flow'!M79</f>
        <v>5218.5666566304408</v>
      </c>
      <c r="K34" s="152">
        <f>'Cash Flow'!N79</f>
        <v>5511.1894643680507</v>
      </c>
      <c r="L34" s="153">
        <f>'Cash Flow'!O79</f>
        <v>5792.1432502658254</v>
      </c>
      <c r="M34" s="91"/>
    </row>
    <row r="35" spans="1:13">
      <c r="A35" s="72"/>
      <c r="B35" s="186"/>
      <c r="C35" s="152"/>
      <c r="D35" s="152"/>
      <c r="E35" s="152"/>
      <c r="F35" s="152"/>
      <c r="G35" s="152"/>
      <c r="H35" s="155"/>
      <c r="I35" s="155"/>
      <c r="J35" s="155"/>
      <c r="K35" s="155"/>
      <c r="L35" s="156"/>
    </row>
    <row r="36" spans="1:13">
      <c r="A36" s="72"/>
      <c r="B36" s="185" t="s">
        <v>278</v>
      </c>
      <c r="C36" s="155"/>
      <c r="D36" s="155"/>
      <c r="E36" s="155"/>
      <c r="F36" s="155"/>
      <c r="G36" s="155"/>
      <c r="H36" s="155"/>
      <c r="I36" s="155"/>
      <c r="J36" s="155"/>
      <c r="K36" s="155"/>
      <c r="L36" s="156"/>
    </row>
    <row r="37" spans="1:13">
      <c r="A37" s="72" t="s">
        <v>242</v>
      </c>
      <c r="B37" s="186" t="s">
        <v>279</v>
      </c>
      <c r="C37" s="155"/>
      <c r="D37" s="155"/>
      <c r="E37" s="155"/>
      <c r="F37" s="155"/>
      <c r="G37" s="155"/>
      <c r="H37" s="155"/>
      <c r="I37" s="155"/>
      <c r="J37" s="155"/>
      <c r="K37" s="155"/>
      <c r="L37" s="156"/>
    </row>
    <row r="38" spans="1:13">
      <c r="A38" s="72" t="s">
        <v>236</v>
      </c>
      <c r="B38" s="186" t="s">
        <v>245</v>
      </c>
      <c r="C38" s="152">
        <f>C16</f>
        <v>-118.3</v>
      </c>
      <c r="D38" s="152">
        <f t="shared" ref="D38:L38" si="9">D16</f>
        <v>-118.3</v>
      </c>
      <c r="E38" s="152">
        <f t="shared" si="9"/>
        <v>-118.3</v>
      </c>
      <c r="F38" s="152">
        <f t="shared" si="9"/>
        <v>-118.3</v>
      </c>
      <c r="G38" s="152">
        <f t="shared" si="9"/>
        <v>-118.3</v>
      </c>
      <c r="H38" s="152">
        <f t="shared" si="9"/>
        <v>-118.3</v>
      </c>
      <c r="I38" s="152">
        <f t="shared" si="9"/>
        <v>-118.3</v>
      </c>
      <c r="J38" s="152">
        <f t="shared" si="9"/>
        <v>-118.3</v>
      </c>
      <c r="K38" s="152">
        <f t="shared" si="9"/>
        <v>-118.3</v>
      </c>
      <c r="L38" s="153">
        <f t="shared" si="9"/>
        <v>-118.3</v>
      </c>
      <c r="M38" s="91"/>
    </row>
    <row r="39" spans="1:13">
      <c r="A39" s="94" t="s">
        <v>236</v>
      </c>
      <c r="B39" s="186" t="s">
        <v>280</v>
      </c>
      <c r="C39" s="152">
        <f>'Cash Flow'!F69</f>
        <v>-4150.1961288783968</v>
      </c>
      <c r="D39" s="152">
        <f>'Cash Flow'!G69</f>
        <v>-4867.1986443829001</v>
      </c>
      <c r="E39" s="152">
        <f>'Cash Flow'!H69</f>
        <v>-5553.6608198858921</v>
      </c>
      <c r="F39" s="152">
        <f>'Cash Flow'!I69</f>
        <v>-6191.9371268362465</v>
      </c>
      <c r="G39" s="152">
        <f>'Cash Flow'!J69</f>
        <v>-6901.2552842295581</v>
      </c>
      <c r="H39" s="152">
        <f>'Cash Flow'!K69</f>
        <v>-7542.1544773730675</v>
      </c>
      <c r="I39" s="152">
        <f>'Cash Flow'!L69</f>
        <v>-8121.9375290303788</v>
      </c>
      <c r="J39" s="152">
        <f>'Cash Flow'!M69</f>
        <v>-8687.3640055457709</v>
      </c>
      <c r="K39" s="152">
        <f>'Cash Flow'!N69</f>
        <v>-9246.6681289693915</v>
      </c>
      <c r="L39" s="153">
        <f>'Cash Flow'!O69</f>
        <v>-9793.645239236972</v>
      </c>
      <c r="M39" s="91"/>
    </row>
    <row r="40" spans="1:13">
      <c r="A40" s="72" t="s">
        <v>236</v>
      </c>
      <c r="B40" s="186" t="s">
        <v>281</v>
      </c>
      <c r="C40" s="152">
        <f>'Cash Flow'!F68</f>
        <v>-3432.0502647090102</v>
      </c>
      <c r="D40" s="152">
        <f>'Cash Flow'!G68</f>
        <v>-4024.9833687643336</v>
      </c>
      <c r="E40" s="152">
        <f>'Cash Flow'!H68</f>
        <v>-4592.6608032725853</v>
      </c>
      <c r="F40" s="152">
        <f>'Cash Flow'!I68</f>
        <v>-5120.4904046216834</v>
      </c>
      <c r="G40" s="152">
        <f>'Cash Flow'!J68</f>
        <v>-5707.0688443501522</v>
      </c>
      <c r="H40" s="152">
        <f>'Cash Flow'!K68</f>
        <v>-6237.0674702402548</v>
      </c>
      <c r="I40" s="152">
        <f>'Cash Flow'!L68</f>
        <v>-6716.5254317732761</v>
      </c>
      <c r="J40" s="152">
        <f>'Cash Flow'!M68</f>
        <v>-7184.1110658340403</v>
      </c>
      <c r="K40" s="152">
        <f>'Cash Flow'!N68</f>
        <v>-7646.6337527721253</v>
      </c>
      <c r="L40" s="153">
        <f>'Cash Flow'!O68</f>
        <v>-8098.9624808100825</v>
      </c>
      <c r="M40" s="91"/>
    </row>
    <row r="41" spans="1:13">
      <c r="A41" s="72" t="s">
        <v>242</v>
      </c>
      <c r="B41" s="186" t="s">
        <v>282</v>
      </c>
      <c r="C41" s="155"/>
      <c r="D41" s="155"/>
      <c r="E41" s="155"/>
      <c r="F41" s="155"/>
      <c r="G41" s="155"/>
      <c r="H41" s="155"/>
      <c r="I41" s="155"/>
      <c r="J41" s="155"/>
      <c r="K41" s="155"/>
      <c r="L41" s="156"/>
    </row>
    <row r="42" spans="1:13">
      <c r="A42" s="72" t="s">
        <v>238</v>
      </c>
      <c r="B42" s="168" t="s">
        <v>283</v>
      </c>
      <c r="C42" s="152">
        <f>C37+C38+C39+C40+C41</f>
        <v>-7700.5463935874068</v>
      </c>
      <c r="D42" s="152">
        <f t="shared" ref="D42:L42" si="10">D37+D38+D39+D40+D41</f>
        <v>-9010.4820131472334</v>
      </c>
      <c r="E42" s="152">
        <f t="shared" si="10"/>
        <v>-10264.621623158477</v>
      </c>
      <c r="F42" s="152">
        <f t="shared" si="10"/>
        <v>-11430.727531457931</v>
      </c>
      <c r="G42" s="152">
        <f t="shared" si="10"/>
        <v>-12726.624128579711</v>
      </c>
      <c r="H42" s="152">
        <f t="shared" si="10"/>
        <v>-13897.521947613322</v>
      </c>
      <c r="I42" s="152">
        <f t="shared" si="10"/>
        <v>-14956.762960803655</v>
      </c>
      <c r="J42" s="152">
        <f t="shared" si="10"/>
        <v>-15989.77507137981</v>
      </c>
      <c r="K42" s="152">
        <f t="shared" si="10"/>
        <v>-17011.601881741517</v>
      </c>
      <c r="L42" s="153">
        <f t="shared" si="10"/>
        <v>-18010.907720047053</v>
      </c>
      <c r="M42" s="91"/>
    </row>
    <row r="43" spans="1:13">
      <c r="A43" s="72"/>
      <c r="B43" s="185"/>
      <c r="C43" s="155"/>
      <c r="D43" s="155"/>
      <c r="E43" s="155"/>
      <c r="F43" s="155"/>
      <c r="G43" s="155"/>
      <c r="H43" s="155"/>
      <c r="I43" s="155"/>
      <c r="J43" s="155"/>
      <c r="K43" s="155"/>
      <c r="L43" s="156"/>
    </row>
    <row r="44" spans="1:13">
      <c r="A44" s="72" t="s">
        <v>238</v>
      </c>
      <c r="B44" s="186" t="s">
        <v>284</v>
      </c>
      <c r="C44" s="152">
        <f>C42-C34+C31</f>
        <v>-2842.5476281609799</v>
      </c>
      <c r="D44" s="152">
        <f t="shared" ref="D44:L44" si="11">D42-D34+D31</f>
        <v>684.17325292411078</v>
      </c>
      <c r="E44" s="152">
        <f t="shared" si="11"/>
        <v>1146.7703097038975</v>
      </c>
      <c r="F44" s="152">
        <f t="shared" si="11"/>
        <v>1630.2326167404299</v>
      </c>
      <c r="G44" s="152">
        <f t="shared" si="11"/>
        <v>1854.3849332637183</v>
      </c>
      <c r="H44" s="152">
        <f t="shared" si="11"/>
        <v>2393.3677678718195</v>
      </c>
      <c r="I44" s="152">
        <f t="shared" si="11"/>
        <v>2881.8763685155463</v>
      </c>
      <c r="J44" s="152">
        <f t="shared" si="11"/>
        <v>3248.6818722224634</v>
      </c>
      <c r="K44" s="152">
        <f t="shared" si="11"/>
        <v>3593.9119303867847</v>
      </c>
      <c r="L44" s="153">
        <f t="shared" si="11"/>
        <v>3949.2677612087209</v>
      </c>
      <c r="M44" s="91"/>
    </row>
    <row r="45" spans="1:13">
      <c r="A45" s="72" t="s">
        <v>242</v>
      </c>
      <c r="B45" s="186" t="s">
        <v>285</v>
      </c>
      <c r="C45" s="152">
        <f>'Balance Sheet'!E24</f>
        <v>12916</v>
      </c>
      <c r="D45" s="152">
        <f>C46</f>
        <v>10073.452371839019</v>
      </c>
      <c r="E45" s="152">
        <f t="shared" ref="E45:G45" si="12">D46</f>
        <v>10757.62562476313</v>
      </c>
      <c r="F45" s="152">
        <f t="shared" si="12"/>
        <v>11904.395934467027</v>
      </c>
      <c r="G45" s="152">
        <f t="shared" si="12"/>
        <v>13534.628551207457</v>
      </c>
      <c r="H45" s="152">
        <f t="shared" ref="H45" si="13">G46</f>
        <v>15389.013484471176</v>
      </c>
      <c r="I45" s="152">
        <f t="shared" ref="I45" si="14">H46</f>
        <v>17782.381252342995</v>
      </c>
      <c r="J45" s="152">
        <f t="shared" ref="J45" si="15">I46</f>
        <v>20664.257620858541</v>
      </c>
      <c r="K45" s="152">
        <f t="shared" ref="K45" si="16">J46</f>
        <v>23912.939493081005</v>
      </c>
      <c r="L45" s="153">
        <f t="shared" ref="L45" si="17">K46</f>
        <v>27506.85142346779</v>
      </c>
      <c r="M45" s="91"/>
    </row>
    <row r="46" spans="1:13" ht="16" thickBot="1">
      <c r="A46" s="72" t="s">
        <v>238</v>
      </c>
      <c r="B46" s="187" t="s">
        <v>286</v>
      </c>
      <c r="C46" s="161">
        <f>C44+C45</f>
        <v>10073.452371839019</v>
      </c>
      <c r="D46" s="161">
        <f t="shared" ref="D46:L46" si="18">D44+D45</f>
        <v>10757.62562476313</v>
      </c>
      <c r="E46" s="161">
        <f t="shared" si="18"/>
        <v>11904.395934467027</v>
      </c>
      <c r="F46" s="161">
        <f t="shared" si="18"/>
        <v>13534.628551207457</v>
      </c>
      <c r="G46" s="161">
        <f t="shared" si="18"/>
        <v>15389.013484471176</v>
      </c>
      <c r="H46" s="161">
        <f t="shared" si="18"/>
        <v>17782.381252342995</v>
      </c>
      <c r="I46" s="161">
        <f t="shared" si="18"/>
        <v>20664.257620858541</v>
      </c>
      <c r="J46" s="161">
        <f t="shared" si="18"/>
        <v>23912.939493081005</v>
      </c>
      <c r="K46" s="161">
        <f t="shared" si="18"/>
        <v>27506.85142346779</v>
      </c>
      <c r="L46" s="162">
        <f t="shared" si="18"/>
        <v>31456.11918467651</v>
      </c>
      <c r="M46" s="91"/>
    </row>
    <row r="47" spans="1:13">
      <c r="B47" s="69"/>
    </row>
    <row r="49" spans="2:13" ht="16" thickBot="1"/>
    <row r="50" spans="2:13">
      <c r="B50" s="536" t="s">
        <v>5</v>
      </c>
      <c r="C50" s="522" t="s">
        <v>233</v>
      </c>
      <c r="D50" s="522"/>
      <c r="E50" s="522"/>
      <c r="F50" s="522"/>
      <c r="G50" s="522"/>
      <c r="H50" s="522"/>
      <c r="I50" s="522"/>
      <c r="J50" s="522"/>
      <c r="K50" s="522"/>
      <c r="L50" s="523"/>
    </row>
    <row r="51" spans="2:13">
      <c r="B51" s="537"/>
      <c r="C51" s="195" t="s">
        <v>105</v>
      </c>
      <c r="D51" s="195" t="s">
        <v>106</v>
      </c>
      <c r="E51" s="195" t="s">
        <v>107</v>
      </c>
      <c r="F51" s="195" t="s">
        <v>108</v>
      </c>
      <c r="G51" s="195" t="s">
        <v>109</v>
      </c>
      <c r="H51" s="196" t="s">
        <v>374</v>
      </c>
      <c r="I51" s="196" t="s">
        <v>375</v>
      </c>
      <c r="J51" s="196" t="s">
        <v>376</v>
      </c>
      <c r="K51" s="196" t="s">
        <v>377</v>
      </c>
      <c r="L51" s="197" t="s">
        <v>378</v>
      </c>
      <c r="M51" s="81"/>
    </row>
    <row r="52" spans="2:13" ht="16">
      <c r="B52" s="188"/>
      <c r="C52" s="155"/>
      <c r="D52" s="155"/>
      <c r="E52" s="155"/>
      <c r="F52" s="155"/>
      <c r="G52" s="155"/>
      <c r="H52" s="155"/>
      <c r="I52" s="155"/>
      <c r="J52" s="155"/>
      <c r="K52" s="155"/>
      <c r="L52" s="156"/>
    </row>
    <row r="53" spans="2:13" ht="17">
      <c r="B53" s="189" t="s">
        <v>287</v>
      </c>
      <c r="C53" s="152">
        <f>'Balance Sheet'!F73</f>
        <v>40048.087239770313</v>
      </c>
      <c r="D53" s="152">
        <f>'Balance Sheet'!G73</f>
        <v>46537.278486308431</v>
      </c>
      <c r="E53" s="152">
        <f>'Balance Sheet'!H73</f>
        <v>52635.648958959333</v>
      </c>
      <c r="F53" s="152">
        <f>'Balance Sheet'!I73</f>
        <v>58187.487592593701</v>
      </c>
      <c r="G53" s="152">
        <f>'Balance Sheet'!J73</f>
        <v>64311.42758322991</v>
      </c>
      <c r="H53" s="152">
        <f>'Balance Sheet'!K73</f>
        <v>69710.714625987443</v>
      </c>
      <c r="I53" s="152">
        <f>'Balance Sheet'!L73</f>
        <v>74468.771078173144</v>
      </c>
      <c r="J53" s="152">
        <f>'Balance Sheet'!M73</f>
        <v>79024.039410609141</v>
      </c>
      <c r="K53" s="152">
        <f>'Balance Sheet'!N73</f>
        <v>83455.186469298045</v>
      </c>
      <c r="L53" s="153">
        <f>'Balance Sheet'!O73</f>
        <v>87709.63113010097</v>
      </c>
      <c r="M53" s="91"/>
    </row>
    <row r="54" spans="2:13" ht="16">
      <c r="B54" s="190"/>
      <c r="C54" s="152"/>
      <c r="D54" s="152"/>
      <c r="E54" s="152"/>
      <c r="F54" s="152"/>
      <c r="G54" s="152"/>
      <c r="H54" s="155"/>
      <c r="I54" s="155"/>
      <c r="J54" s="155"/>
      <c r="K54" s="155"/>
      <c r="L54" s="156"/>
    </row>
    <row r="55" spans="2:13" ht="17">
      <c r="B55" s="189" t="s">
        <v>288</v>
      </c>
      <c r="C55" s="152">
        <f>'Balance Sheet'!F101</f>
        <v>30709.745510541914</v>
      </c>
      <c r="D55" s="152">
        <f>'Balance Sheet'!G101</f>
        <v>35685.798687746406</v>
      </c>
      <c r="E55" s="152">
        <f>'Balance Sheet'!H101</f>
        <v>40362.161983772487</v>
      </c>
      <c r="F55" s="152">
        <f>'Balance Sheet'!I101</f>
        <v>44619.432762617405</v>
      </c>
      <c r="G55" s="152">
        <f>'Balance Sheet'!J101</f>
        <v>49315.403321918129</v>
      </c>
      <c r="H55" s="152">
        <f>'Balance Sheet'!K101</f>
        <v>53455.694218427903</v>
      </c>
      <c r="I55" s="152">
        <f>'Balance Sheet'!L101</f>
        <v>57104.275532601365</v>
      </c>
      <c r="J55" s="152">
        <f>'Balance Sheet'!M101</f>
        <v>60597.35449998884</v>
      </c>
      <c r="K55" s="152">
        <f>'Balance Sheet'!N101</f>
        <v>63995.254571405661</v>
      </c>
      <c r="L55" s="153">
        <f>'Balance Sheet'!O101</f>
        <v>67257.655395687601</v>
      </c>
      <c r="M55" s="91"/>
    </row>
    <row r="56" spans="2:13" ht="16">
      <c r="B56" s="191"/>
      <c r="C56" s="152"/>
      <c r="D56" s="152"/>
      <c r="E56" s="152"/>
      <c r="F56" s="152"/>
      <c r="G56" s="152"/>
      <c r="H56" s="155"/>
      <c r="I56" s="155"/>
      <c r="J56" s="155"/>
      <c r="K56" s="155"/>
      <c r="L56" s="156"/>
    </row>
    <row r="57" spans="2:13" ht="17">
      <c r="B57" s="189" t="s">
        <v>6</v>
      </c>
      <c r="C57" s="152">
        <f>C55+C53</f>
        <v>70757.832750312227</v>
      </c>
      <c r="D57" s="152">
        <f t="shared" ref="D57:L57" si="19">D55+D53</f>
        <v>82223.077174054837</v>
      </c>
      <c r="E57" s="152">
        <f t="shared" si="19"/>
        <v>92997.810942731827</v>
      </c>
      <c r="F57" s="152">
        <f t="shared" si="19"/>
        <v>102806.9203552111</v>
      </c>
      <c r="G57" s="152">
        <f t="shared" si="19"/>
        <v>113626.83090514803</v>
      </c>
      <c r="H57" s="152">
        <f t="shared" si="19"/>
        <v>123166.40884441535</v>
      </c>
      <c r="I57" s="152">
        <f t="shared" si="19"/>
        <v>131573.0466107745</v>
      </c>
      <c r="J57" s="152">
        <f t="shared" si="19"/>
        <v>139621.39391059798</v>
      </c>
      <c r="K57" s="152">
        <f t="shared" si="19"/>
        <v>147450.44104070371</v>
      </c>
      <c r="L57" s="153">
        <f t="shared" si="19"/>
        <v>154967.28652578857</v>
      </c>
      <c r="M57" s="91"/>
    </row>
    <row r="58" spans="2:13">
      <c r="B58" s="151"/>
      <c r="C58" s="152"/>
      <c r="D58" s="152"/>
      <c r="E58" s="152"/>
      <c r="F58" s="152"/>
      <c r="G58" s="152"/>
      <c r="H58" s="155"/>
      <c r="I58" s="155"/>
      <c r="J58" s="155"/>
      <c r="K58" s="155"/>
      <c r="L58" s="156"/>
    </row>
    <row r="59" spans="2:13">
      <c r="B59" s="151"/>
      <c r="C59" s="152"/>
      <c r="D59" s="152"/>
      <c r="E59" s="152"/>
      <c r="F59" s="152"/>
      <c r="G59" s="152"/>
      <c r="H59" s="155"/>
      <c r="I59" s="155"/>
      <c r="J59" s="155"/>
      <c r="K59" s="155"/>
      <c r="L59" s="156"/>
    </row>
    <row r="60" spans="2:13" ht="17">
      <c r="B60" s="189" t="s">
        <v>289</v>
      </c>
      <c r="C60" s="152">
        <f>'Balance Sheet'!F77</f>
        <v>29357.787448455794</v>
      </c>
      <c r="D60" s="152">
        <f>'Balance Sheet'!G77</f>
        <v>34114.776120290757</v>
      </c>
      <c r="E60" s="152">
        <f>'Balance Sheet'!H77</f>
        <v>38585.268382408867</v>
      </c>
      <c r="F60" s="152">
        <f>'Balance Sheet'!I77</f>
        <v>42655.118150227579</v>
      </c>
      <c r="G60" s="152">
        <f>'Balance Sheet'!J77</f>
        <v>47144.354490425569</v>
      </c>
      <c r="H60" s="152">
        <f>'Balance Sheet'!K77</f>
        <v>51102.374268635234</v>
      </c>
      <c r="I60" s="152">
        <f>'Balance Sheet'!L77</f>
        <v>54590.331362683522</v>
      </c>
      <c r="J60" s="152">
        <f>'Balance Sheet'!M77</f>
        <v>57929.631905894807</v>
      </c>
      <c r="K60" s="152">
        <f>'Balance Sheet'!N77</f>
        <v>61177.943684756807</v>
      </c>
      <c r="L60" s="153">
        <f>'Balance Sheet'!O77</f>
        <v>64296.721401037721</v>
      </c>
      <c r="M60" s="91"/>
    </row>
    <row r="61" spans="2:13" ht="16">
      <c r="B61" s="191"/>
      <c r="C61" s="152"/>
      <c r="D61" s="152"/>
      <c r="E61" s="152"/>
      <c r="F61" s="152"/>
      <c r="G61" s="152"/>
      <c r="H61" s="155"/>
      <c r="I61" s="155"/>
      <c r="J61" s="155"/>
      <c r="K61" s="155"/>
      <c r="L61" s="156"/>
    </row>
    <row r="62" spans="2:13" ht="17">
      <c r="B62" s="189" t="s">
        <v>290</v>
      </c>
      <c r="C62" s="152">
        <f>'Balance Sheet'!F95</f>
        <v>14546.036121467794</v>
      </c>
      <c r="D62" s="152">
        <f>'Balance Sheet'!G95</f>
        <v>16903.002877610863</v>
      </c>
      <c r="E62" s="152">
        <f>'Balance Sheet'!H95</f>
        <v>19118.017958011027</v>
      </c>
      <c r="F62" s="152">
        <f>'Balance Sheet'!I95</f>
        <v>21134.524884344544</v>
      </c>
      <c r="G62" s="152">
        <f>'Balance Sheet'!J95</f>
        <v>23358.82717813885</v>
      </c>
      <c r="H62" s="152">
        <f>'Balance Sheet'!K95</f>
        <v>25319.925192231531</v>
      </c>
      <c r="I62" s="152">
        <f>'Balance Sheet'!L95</f>
        <v>27048.119115879032</v>
      </c>
      <c r="J62" s="152">
        <f>'Balance Sheet'!M95</f>
        <v>28702.657503939448</v>
      </c>
      <c r="K62" s="152">
        <f>'Balance Sheet'!N95</f>
        <v>30312.113276179578</v>
      </c>
      <c r="L62" s="153">
        <f>'Balance Sheet'!O95</f>
        <v>31857.388218833243</v>
      </c>
      <c r="M62" s="91"/>
    </row>
    <row r="63" spans="2:13" ht="16">
      <c r="B63" s="191"/>
      <c r="C63" s="152"/>
      <c r="D63" s="152"/>
      <c r="E63" s="152"/>
      <c r="F63" s="152"/>
      <c r="G63" s="152"/>
      <c r="H63" s="155"/>
      <c r="I63" s="155"/>
      <c r="J63" s="155"/>
      <c r="K63" s="155"/>
      <c r="L63" s="156"/>
    </row>
    <row r="64" spans="2:13" ht="17">
      <c r="B64" s="189" t="s">
        <v>7</v>
      </c>
      <c r="C64" s="152">
        <f>C62+C60</f>
        <v>43903.823569923588</v>
      </c>
      <c r="D64" s="152">
        <f t="shared" ref="D64:L64" si="20">D62+D60</f>
        <v>51017.778997901623</v>
      </c>
      <c r="E64" s="152">
        <f t="shared" si="20"/>
        <v>57703.286340419894</v>
      </c>
      <c r="F64" s="152">
        <f t="shared" si="20"/>
        <v>63789.643034572124</v>
      </c>
      <c r="G64" s="152">
        <f t="shared" si="20"/>
        <v>70503.181668564415</v>
      </c>
      <c r="H64" s="152">
        <f t="shared" si="20"/>
        <v>76422.299460866765</v>
      </c>
      <c r="I64" s="152">
        <f t="shared" si="20"/>
        <v>81638.450478562561</v>
      </c>
      <c r="J64" s="152">
        <f t="shared" si="20"/>
        <v>86632.289409834251</v>
      </c>
      <c r="K64" s="152">
        <f t="shared" si="20"/>
        <v>91490.056960936388</v>
      </c>
      <c r="L64" s="153">
        <f t="shared" si="20"/>
        <v>96154.109619870957</v>
      </c>
      <c r="M64" s="91"/>
    </row>
    <row r="65" spans="2:13" ht="16">
      <c r="B65" s="190"/>
      <c r="C65" s="152"/>
      <c r="D65" s="152"/>
      <c r="E65" s="152"/>
      <c r="F65" s="152"/>
      <c r="G65" s="152"/>
      <c r="H65" s="155"/>
      <c r="I65" s="155"/>
      <c r="J65" s="155"/>
      <c r="K65" s="155"/>
      <c r="L65" s="156"/>
    </row>
    <row r="66" spans="2:13" ht="17">
      <c r="B66" s="189" t="s">
        <v>223</v>
      </c>
      <c r="C66" s="152">
        <f>'Balance Sheet'!F109</f>
        <v>26854.009180388635</v>
      </c>
      <c r="D66" s="152">
        <f>'Balance Sheet'!G109</f>
        <v>31205.298176153203</v>
      </c>
      <c r="E66" s="152">
        <f>'Balance Sheet'!H109</f>
        <v>35294.524602311918</v>
      </c>
      <c r="F66" s="152">
        <f>'Balance Sheet'!I109</f>
        <v>39017.277320638961</v>
      </c>
      <c r="G66" s="152">
        <f>'Balance Sheet'!J109</f>
        <v>43123.649236583602</v>
      </c>
      <c r="H66" s="152">
        <f>'Balance Sheet'!K109</f>
        <v>46744.109383548559</v>
      </c>
      <c r="I66" s="152">
        <f>'Balance Sheet'!L109</f>
        <v>49934.59613221194</v>
      </c>
      <c r="J66" s="152">
        <f>'Balance Sheet'!M109</f>
        <v>52989.104500763715</v>
      </c>
      <c r="K66" s="152">
        <f>'Balance Sheet'!N109</f>
        <v>55960.384079767311</v>
      </c>
      <c r="L66" s="153">
        <f>'Balance Sheet'!O109</f>
        <v>58813.176905917586</v>
      </c>
      <c r="M66" s="91"/>
    </row>
    <row r="67" spans="2:13" ht="16">
      <c r="B67" s="189"/>
      <c r="C67" s="152"/>
      <c r="D67" s="152"/>
      <c r="E67" s="152"/>
      <c r="F67" s="152"/>
      <c r="G67" s="152"/>
      <c r="H67" s="155"/>
      <c r="I67" s="155"/>
      <c r="J67" s="155"/>
      <c r="K67" s="155"/>
      <c r="L67" s="156"/>
    </row>
    <row r="68" spans="2:13" ht="18" thickBot="1">
      <c r="B68" s="192" t="s">
        <v>291</v>
      </c>
      <c r="C68" s="161">
        <f>C66+C64</f>
        <v>70757.832750312227</v>
      </c>
      <c r="D68" s="161">
        <f t="shared" ref="D68:L68" si="21">D66+D64</f>
        <v>82223.077174054823</v>
      </c>
      <c r="E68" s="161">
        <f t="shared" si="21"/>
        <v>92997.810942731812</v>
      </c>
      <c r="F68" s="161">
        <f t="shared" si="21"/>
        <v>102806.92035521108</v>
      </c>
      <c r="G68" s="161">
        <f t="shared" si="21"/>
        <v>113626.83090514802</v>
      </c>
      <c r="H68" s="161">
        <f t="shared" si="21"/>
        <v>123166.40884441533</v>
      </c>
      <c r="I68" s="161">
        <f t="shared" si="21"/>
        <v>131573.0466107745</v>
      </c>
      <c r="J68" s="161">
        <f t="shared" si="21"/>
        <v>139621.39391059795</v>
      </c>
      <c r="K68" s="161">
        <f t="shared" si="21"/>
        <v>147450.44104070371</v>
      </c>
      <c r="L68" s="162">
        <f t="shared" si="21"/>
        <v>154967.28652578854</v>
      </c>
      <c r="M68" s="91"/>
    </row>
  </sheetData>
  <mergeCells count="6">
    <mergeCell ref="B50:B51"/>
    <mergeCell ref="B5:B6"/>
    <mergeCell ref="B24:B25"/>
    <mergeCell ref="C5:L5"/>
    <mergeCell ref="C24:L24"/>
    <mergeCell ref="C50:L50"/>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F3B96-AD98-3E47-A4A0-F2D5F25B579E}">
  <sheetPr>
    <tabColor theme="4"/>
  </sheetPr>
  <dimension ref="B7:H36"/>
  <sheetViews>
    <sheetView zoomScale="93" workbookViewId="0">
      <selection activeCell="F12" sqref="F12"/>
    </sheetView>
  </sheetViews>
  <sheetFormatPr baseColWidth="10" defaultColWidth="11.5" defaultRowHeight="15"/>
  <cols>
    <col min="2" max="2" width="23.83203125" bestFit="1" customWidth="1"/>
    <col min="7" max="7" width="40.33203125" bestFit="1" customWidth="1"/>
  </cols>
  <sheetData>
    <row r="7" spans="2:8" ht="16" thickBot="1">
      <c r="B7" s="106" t="s">
        <v>344</v>
      </c>
      <c r="C7" s="106"/>
    </row>
    <row r="8" spans="2:8">
      <c r="B8" s="100" t="s">
        <v>345</v>
      </c>
      <c r="C8" s="114">
        <v>1.37</v>
      </c>
    </row>
    <row r="9" spans="2:8">
      <c r="B9" s="100" t="s">
        <v>346</v>
      </c>
      <c r="C9" s="101">
        <v>3.3149999999999999E-2</v>
      </c>
    </row>
    <row r="10" spans="2:8">
      <c r="B10" s="100" t="s">
        <v>347</v>
      </c>
      <c r="C10" s="102"/>
    </row>
    <row r="11" spans="2:8">
      <c r="B11" s="100" t="s">
        <v>348</v>
      </c>
      <c r="C11" s="103">
        <v>4.2299999999999997E-2</v>
      </c>
    </row>
    <row r="12" spans="2:8">
      <c r="B12" s="100"/>
      <c r="C12" s="100"/>
      <c r="G12" t="s">
        <v>372</v>
      </c>
      <c r="H12">
        <f>(2/3) * C8 + (1/3) * 1</f>
        <v>1.2466666666666666</v>
      </c>
    </row>
    <row r="13" spans="2:8">
      <c r="B13" s="104" t="s">
        <v>349</v>
      </c>
      <c r="C13" s="105">
        <f>C9+C8*(C11)</f>
        <v>9.1101000000000001E-2</v>
      </c>
    </row>
    <row r="18" spans="2:7" ht="16" thickBot="1"/>
    <row r="19" spans="2:7">
      <c r="B19" s="250"/>
      <c r="C19" s="251"/>
      <c r="D19" s="252"/>
      <c r="E19" s="253"/>
      <c r="F19" s="253"/>
      <c r="G19" s="177"/>
    </row>
    <row r="20" spans="2:7">
      <c r="B20" s="254" t="s">
        <v>350</v>
      </c>
      <c r="C20" s="255"/>
      <c r="D20" s="256"/>
      <c r="E20" s="257"/>
      <c r="F20" s="257"/>
      <c r="G20" s="156"/>
    </row>
    <row r="21" spans="2:7">
      <c r="B21" s="258" t="s">
        <v>351</v>
      </c>
      <c r="C21" s="259"/>
      <c r="D21" s="260"/>
      <c r="E21" s="261"/>
      <c r="F21" s="261"/>
      <c r="G21" s="156"/>
    </row>
    <row r="22" spans="2:7">
      <c r="B22" s="262"/>
      <c r="C22" s="263"/>
      <c r="D22" s="263"/>
      <c r="E22" s="264"/>
      <c r="F22" s="264"/>
      <c r="G22" s="156"/>
    </row>
    <row r="23" spans="2:7">
      <c r="B23" s="258"/>
      <c r="C23" s="256"/>
      <c r="D23" s="256"/>
      <c r="E23" s="265"/>
      <c r="F23" s="265"/>
      <c r="G23" s="156"/>
    </row>
    <row r="24" spans="2:7">
      <c r="B24" s="266" t="s">
        <v>352</v>
      </c>
      <c r="C24" s="242"/>
      <c r="D24" s="242"/>
      <c r="E24" s="244">
        <f>H12</f>
        <v>1.2466666666666666</v>
      </c>
      <c r="F24" s="244">
        <v>1.37</v>
      </c>
      <c r="G24" s="267" t="s">
        <v>373</v>
      </c>
    </row>
    <row r="25" spans="2:7">
      <c r="B25" s="268" t="s">
        <v>353</v>
      </c>
      <c r="C25" s="256"/>
      <c r="D25" s="256"/>
      <c r="E25" s="278">
        <f>C9</f>
        <v>3.3149999999999999E-2</v>
      </c>
      <c r="F25" s="278">
        <f>C9</f>
        <v>3.3149999999999999E-2</v>
      </c>
      <c r="G25" s="156"/>
    </row>
    <row r="26" spans="2:7">
      <c r="B26" s="268" t="s">
        <v>354</v>
      </c>
      <c r="C26" s="256"/>
      <c r="D26" s="256"/>
      <c r="E26" s="269">
        <f>C11</f>
        <v>4.2299999999999997E-2</v>
      </c>
      <c r="F26" s="269">
        <f>E26</f>
        <v>4.2299999999999997E-2</v>
      </c>
      <c r="G26" s="267"/>
    </row>
    <row r="27" spans="2:7">
      <c r="B27" s="268" t="s">
        <v>355</v>
      </c>
      <c r="C27" s="256"/>
      <c r="D27" s="256"/>
      <c r="E27" s="245">
        <f>E25+E24*E26</f>
        <v>8.5883999999999988E-2</v>
      </c>
      <c r="F27" s="245">
        <f>C13</f>
        <v>9.1101000000000001E-2</v>
      </c>
      <c r="G27" s="156"/>
    </row>
    <row r="28" spans="2:7">
      <c r="B28" s="268" t="s">
        <v>356</v>
      </c>
      <c r="C28" s="256"/>
      <c r="D28" s="256"/>
      <c r="E28" s="270"/>
      <c r="F28" s="270">
        <v>563419</v>
      </c>
      <c r="G28" s="156"/>
    </row>
    <row r="29" spans="2:7">
      <c r="B29" s="268" t="s">
        <v>357</v>
      </c>
      <c r="C29" s="256"/>
      <c r="D29" s="256"/>
      <c r="E29" s="271"/>
      <c r="F29" s="271">
        <f>'Balance Sheet'!$E$59+'Balance Sheet'!$E$45</f>
        <v>4390.8999999999996</v>
      </c>
      <c r="G29" s="156"/>
    </row>
    <row r="30" spans="2:7">
      <c r="B30" s="268" t="s">
        <v>358</v>
      </c>
      <c r="C30" s="256"/>
      <c r="D30" s="256"/>
      <c r="E30" s="245"/>
      <c r="F30" s="245">
        <f>F28/(F28+F29)</f>
        <v>0.99226695413376897</v>
      </c>
      <c r="G30" s="156"/>
    </row>
    <row r="31" spans="2:7">
      <c r="B31" s="268" t="s">
        <v>359</v>
      </c>
      <c r="C31" s="256"/>
      <c r="D31" s="256"/>
      <c r="E31" s="245"/>
      <c r="F31" s="245">
        <f>F29/(F28+F29)</f>
        <v>7.7330458662309334E-3</v>
      </c>
      <c r="G31" s="156"/>
    </row>
    <row r="32" spans="2:7">
      <c r="B32" s="272" t="s">
        <v>360</v>
      </c>
      <c r="C32" s="255"/>
      <c r="D32" s="255"/>
      <c r="E32" s="273"/>
      <c r="F32" s="273">
        <f>-1*'Statement of Profit or Loss'!E22/'Statement of Profit or Loss'!E25</f>
        <v>101.89349112426035</v>
      </c>
      <c r="G32" s="156"/>
    </row>
    <row r="33" spans="2:7">
      <c r="B33" s="272" t="s">
        <v>361</v>
      </c>
      <c r="C33" s="255"/>
      <c r="D33" s="255"/>
      <c r="E33" s="249"/>
      <c r="F33" s="246">
        <v>1.11E-2</v>
      </c>
      <c r="G33" s="156"/>
    </row>
    <row r="34" spans="2:7">
      <c r="B34" s="272" t="s">
        <v>362</v>
      </c>
      <c r="C34" s="255"/>
      <c r="D34" s="255"/>
      <c r="E34" s="247"/>
      <c r="F34" s="247">
        <v>5.74E-2</v>
      </c>
      <c r="G34" s="156"/>
    </row>
    <row r="35" spans="2:7" ht="16" thickBot="1">
      <c r="B35" s="274" t="s">
        <v>363</v>
      </c>
      <c r="C35" s="243"/>
      <c r="D35" s="243"/>
      <c r="E35" s="403"/>
      <c r="F35" s="248">
        <f>'DCF Model'!O4</f>
        <v>0.25800000000000001</v>
      </c>
      <c r="G35" s="156"/>
    </row>
    <row r="36" spans="2:7" ht="17" thickTop="1" thickBot="1">
      <c r="B36" s="275"/>
      <c r="C36" s="276" t="s">
        <v>189</v>
      </c>
      <c r="D36" s="276"/>
      <c r="E36" s="404">
        <f>$F$30*E27+$F$31*$F$34*(1-$F$35)</f>
        <v>8.5549211698704067E-2</v>
      </c>
      <c r="F36" s="277">
        <f>$F$30*F27+$F$31*$F$34*(1-$F$35)</f>
        <v>9.0725868398419965E-2</v>
      </c>
      <c r="G36" s="180"/>
    </row>
  </sheetData>
  <pageMargins left="0.7" right="0.7" top="0.75" bottom="0.75" header="0.3" footer="0.3"/>
  <drawing r:id="rId1"/>
  <legacyDrawing r:id="rId2"/>
  <oleObjects>
    <mc:AlternateContent xmlns:mc="http://schemas.openxmlformats.org/markup-compatibility/2006">
      <mc:Choice Requires="x14">
        <oleObject progId="Equation.3" shapeId="34817" r:id="rId3">
          <objectPr defaultSize="0" autoPict="0" r:id="rId4">
            <anchor moveWithCells="1" sizeWithCells="1">
              <from>
                <xdr:col>1</xdr:col>
                <xdr:colOff>596900</xdr:colOff>
                <xdr:row>2</xdr:row>
                <xdr:rowOff>101600</xdr:rowOff>
              </from>
              <to>
                <xdr:col>3</xdr:col>
                <xdr:colOff>495300</xdr:colOff>
                <xdr:row>4</xdr:row>
                <xdr:rowOff>165100</xdr:rowOff>
              </to>
            </anchor>
          </objectPr>
        </oleObject>
      </mc:Choice>
      <mc:Fallback>
        <oleObject progId="Equation.3" shapeId="34817" r:id="rId3"/>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EEB4D-688C-4C40-B738-964E30723672}">
  <sheetPr>
    <tabColor theme="4"/>
  </sheetPr>
  <dimension ref="A1:R41"/>
  <sheetViews>
    <sheetView zoomScale="89" workbookViewId="0">
      <selection activeCell="Q23" sqref="Q23"/>
    </sheetView>
  </sheetViews>
  <sheetFormatPr baseColWidth="10" defaultColWidth="11.5" defaultRowHeight="15"/>
  <cols>
    <col min="2" max="2" width="37.6640625" bestFit="1" customWidth="1"/>
    <col min="18" max="18" width="19.33203125" bestFit="1" customWidth="1"/>
  </cols>
  <sheetData>
    <row r="1" spans="2:18" ht="16" thickBot="1"/>
    <row r="2" spans="2:18">
      <c r="B2" s="166"/>
      <c r="C2" s="214">
        <v>2022</v>
      </c>
      <c r="D2" s="214">
        <v>2023</v>
      </c>
      <c r="E2" s="214">
        <v>2024</v>
      </c>
      <c r="F2" s="214">
        <v>2025</v>
      </c>
      <c r="G2" s="214" t="s">
        <v>105</v>
      </c>
      <c r="H2" s="214" t="s">
        <v>106</v>
      </c>
      <c r="I2" s="214" t="s">
        <v>107</v>
      </c>
      <c r="J2" s="214" t="s">
        <v>108</v>
      </c>
      <c r="K2" s="214" t="s">
        <v>109</v>
      </c>
      <c r="L2" s="215" t="s">
        <v>374</v>
      </c>
      <c r="M2" s="215" t="s">
        <v>375</v>
      </c>
      <c r="N2" s="215" t="s">
        <v>376</v>
      </c>
      <c r="O2" s="215" t="s">
        <v>377</v>
      </c>
      <c r="P2" s="216" t="s">
        <v>378</v>
      </c>
      <c r="Q2" s="81"/>
    </row>
    <row r="3" spans="2:18">
      <c r="B3" s="151" t="s">
        <v>3</v>
      </c>
      <c r="C3" s="152">
        <f>'ASML Revenue Model'!C7</f>
        <v>21173.4</v>
      </c>
      <c r="D3" s="152">
        <f>'ASML Revenue Model'!D7</f>
        <v>27558.5</v>
      </c>
      <c r="E3" s="152">
        <f>'ASML Revenue Model'!E7</f>
        <v>28262.9</v>
      </c>
      <c r="F3" s="152">
        <f>'ASML Revenue Model'!F7</f>
        <v>32667.3</v>
      </c>
      <c r="G3" s="152">
        <f>'ASML Revenue Model'!G7</f>
        <v>40676.557310632765</v>
      </c>
      <c r="H3" s="152">
        <f>'ASML Revenue Model'!H7</f>
        <v>47267.582696168203</v>
      </c>
      <c r="I3" s="152">
        <f>'ASML Revenue Model'!I7</f>
        <v>53461.654201933277</v>
      </c>
      <c r="J3" s="152">
        <f>'ASML Revenue Model'!J7</f>
        <v>59100.617206791845</v>
      </c>
      <c r="K3" s="152">
        <f>'ASML Revenue Model'!K7</f>
        <v>65320.659490075144</v>
      </c>
      <c r="L3" s="152">
        <f>'ASML Revenue Model'!L7</f>
        <v>70804.676929319598</v>
      </c>
      <c r="M3" s="152">
        <f>'ASML Revenue Model'!M7</f>
        <v>75637.40101938197</v>
      </c>
      <c r="N3" s="152">
        <f>'ASML Revenue Model'!N7</f>
        <v>80264.154658832602</v>
      </c>
      <c r="O3" s="152">
        <f>'ASML Revenue Model'!O7</f>
        <v>84764.839203526848</v>
      </c>
      <c r="P3" s="153">
        <f>'ASML Revenue Model'!P7</f>
        <v>89086.048379734639</v>
      </c>
      <c r="Q3" s="65"/>
    </row>
    <row r="4" spans="2:18" ht="16" thickBot="1">
      <c r="B4" s="160" t="s">
        <v>327</v>
      </c>
      <c r="C4" s="217"/>
      <c r="D4" s="240">
        <f>D3/C3-1</f>
        <v>0.30156233765007023</v>
      </c>
      <c r="E4" s="240">
        <f>E3/D3-1</f>
        <v>2.5560171997750292E-2</v>
      </c>
      <c r="F4" s="240">
        <f>F3/E3-1</f>
        <v>0.15583680372502462</v>
      </c>
      <c r="G4" s="240">
        <f t="shared" ref="G4:K4" si="0">G3/F3-1</f>
        <v>0.24517659282012172</v>
      </c>
      <c r="H4" s="240">
        <f t="shared" si="0"/>
        <v>0.16203498578313957</v>
      </c>
      <c r="I4" s="240">
        <f t="shared" si="0"/>
        <v>0.13104269675858005</v>
      </c>
      <c r="J4" s="240">
        <f t="shared" si="0"/>
        <v>0.10547677749662032</v>
      </c>
      <c r="K4" s="240">
        <f t="shared" si="0"/>
        <v>0.10524496320435195</v>
      </c>
      <c r="L4" s="240">
        <f t="shared" ref="L4" si="1">L3/K3-1</f>
        <v>8.3955328713080313E-2</v>
      </c>
      <c r="M4" s="240">
        <f t="shared" ref="M4" si="2">M3/L3-1</f>
        <v>6.8254306066343862E-2</v>
      </c>
      <c r="N4" s="240">
        <f t="shared" ref="N4" si="3">N3/M3-1</f>
        <v>6.1170182701875575E-2</v>
      </c>
      <c r="O4" s="240">
        <f t="shared" ref="O4" si="4">O3/N3-1</f>
        <v>5.6073406165238593E-2</v>
      </c>
      <c r="P4" s="241">
        <f t="shared" ref="P4" si="5">P3/O3-1</f>
        <v>5.0978792820360885E-2</v>
      </c>
      <c r="Q4" s="7"/>
    </row>
    <row r="6" spans="2:18" ht="16" thickBot="1">
      <c r="G6" s="63"/>
    </row>
    <row r="7" spans="2:18" s="61" customFormat="1">
      <c r="B7" s="149" t="s">
        <v>401</v>
      </c>
      <c r="C7" s="214">
        <v>2022</v>
      </c>
      <c r="D7" s="214">
        <v>2023</v>
      </c>
      <c r="E7" s="214">
        <v>2024</v>
      </c>
      <c r="F7" s="214">
        <v>2025</v>
      </c>
      <c r="G7" s="214" t="s">
        <v>105</v>
      </c>
      <c r="H7" s="214" t="s">
        <v>106</v>
      </c>
      <c r="I7" s="214" t="s">
        <v>107</v>
      </c>
      <c r="J7" s="214" t="s">
        <v>108</v>
      </c>
      <c r="K7" s="214" t="s">
        <v>109</v>
      </c>
      <c r="L7" s="215" t="s">
        <v>374</v>
      </c>
      <c r="M7" s="215" t="s">
        <v>375</v>
      </c>
      <c r="N7" s="215" t="s">
        <v>376</v>
      </c>
      <c r="O7" s="215" t="s">
        <v>377</v>
      </c>
      <c r="P7" s="216" t="s">
        <v>378</v>
      </c>
      <c r="Q7" s="82"/>
    </row>
    <row r="8" spans="2:18">
      <c r="B8" s="151" t="s">
        <v>328</v>
      </c>
      <c r="C8" s="179">
        <v>7843.3</v>
      </c>
      <c r="D8" s="179">
        <v>10439.1</v>
      </c>
      <c r="E8" s="179">
        <v>10615.1</v>
      </c>
      <c r="F8" s="179">
        <v>11710.6</v>
      </c>
      <c r="G8" s="227">
        <f>G3*G9</f>
        <v>14500.411893258055</v>
      </c>
      <c r="H8" s="227">
        <f t="shared" ref="H8:P8" si="6">H3*H9</f>
        <v>16755.450762839453</v>
      </c>
      <c r="I8" s="227">
        <f t="shared" si="6"/>
        <v>18844.206907803677</v>
      </c>
      <c r="J8" s="227">
        <f>J3*J9</f>
        <v>20713.631892504774</v>
      </c>
      <c r="K8" s="227">
        <f t="shared" si="6"/>
        <v>22762.995999879779</v>
      </c>
      <c r="L8" s="227">
        <f t="shared" si="6"/>
        <v>24532.461457685582</v>
      </c>
      <c r="M8" s="227">
        <f t="shared" si="6"/>
        <v>26055.632788540472</v>
      </c>
      <c r="N8" s="227">
        <f t="shared" si="6"/>
        <v>27488.93229731081</v>
      </c>
      <c r="O8" s="227">
        <f t="shared" si="6"/>
        <v>28860.800684659611</v>
      </c>
      <c r="P8" s="228">
        <f t="shared" si="6"/>
        <v>30153.91736663313</v>
      </c>
    </row>
    <row r="9" spans="2:18">
      <c r="B9" s="229" t="s">
        <v>329</v>
      </c>
      <c r="C9" s="230">
        <f>C8/C3</f>
        <v>0.37043176816193901</v>
      </c>
      <c r="D9" s="230">
        <f t="shared" ref="D9:F9" si="7">D8/D3</f>
        <v>0.37879783007057716</v>
      </c>
      <c r="E9" s="230">
        <f t="shared" si="7"/>
        <v>0.37558424648567557</v>
      </c>
      <c r="F9" s="230">
        <f t="shared" si="7"/>
        <v>0.35848080496398543</v>
      </c>
      <c r="G9" s="230">
        <f>F9-0.002</f>
        <v>0.35648080496398543</v>
      </c>
      <c r="H9" s="230">
        <f t="shared" ref="H9:P9" si="8">G9-0.002</f>
        <v>0.35448080496398543</v>
      </c>
      <c r="I9" s="230">
        <f t="shared" si="8"/>
        <v>0.35248080496398543</v>
      </c>
      <c r="J9" s="230">
        <f>I9-0.002</f>
        <v>0.35048080496398543</v>
      </c>
      <c r="K9" s="230">
        <f t="shared" si="8"/>
        <v>0.34848080496398542</v>
      </c>
      <c r="L9" s="230">
        <f t="shared" si="8"/>
        <v>0.34648080496398542</v>
      </c>
      <c r="M9" s="230">
        <f t="shared" si="8"/>
        <v>0.34448080496398542</v>
      </c>
      <c r="N9" s="230">
        <f t="shared" si="8"/>
        <v>0.34248080496398542</v>
      </c>
      <c r="O9" s="230">
        <f t="shared" si="8"/>
        <v>0.34048080496398542</v>
      </c>
      <c r="P9" s="231">
        <f t="shared" si="8"/>
        <v>0.33848080496398542</v>
      </c>
      <c r="Q9" s="7"/>
    </row>
    <row r="10" spans="2:18" ht="16" thickBot="1">
      <c r="B10" s="151" t="s">
        <v>330</v>
      </c>
      <c r="C10" s="179">
        <v>2817.4</v>
      </c>
      <c r="D10" s="179">
        <v>3345</v>
      </c>
      <c r="E10" s="179">
        <v>3364</v>
      </c>
      <c r="F10" s="179">
        <v>4025.3</v>
      </c>
      <c r="G10" s="227">
        <f>G3*G11</f>
        <v>5012.2093390788368</v>
      </c>
      <c r="H10" s="227">
        <f t="shared" ref="H10:P10" si="9">H3*H11</f>
        <v>5824.3626080785953</v>
      </c>
      <c r="I10" s="227">
        <f t="shared" si="9"/>
        <v>6587.6027911410511</v>
      </c>
      <c r="J10" s="227">
        <f t="shared" si="9"/>
        <v>7282.4419049783501</v>
      </c>
      <c r="K10" s="227">
        <f t="shared" si="9"/>
        <v>8048.8822353056266</v>
      </c>
      <c r="L10" s="227">
        <f t="shared" si="9"/>
        <v>8724.6287891435841</v>
      </c>
      <c r="M10" s="227">
        <f t="shared" si="9"/>
        <v>9320.1222728330249</v>
      </c>
      <c r="N10" s="227">
        <f t="shared" si="9"/>
        <v>9890.235855066041</v>
      </c>
      <c r="O10" s="227">
        <f t="shared" si="9"/>
        <v>10444.815067237165</v>
      </c>
      <c r="P10" s="228">
        <f t="shared" si="9"/>
        <v>10977.279130596831</v>
      </c>
    </row>
    <row r="11" spans="2:18">
      <c r="B11" s="229" t="s">
        <v>331</v>
      </c>
      <c r="C11" s="232">
        <f>C10/C3</f>
        <v>0.13306318305043119</v>
      </c>
      <c r="D11" s="232">
        <f t="shared" ref="D11:F11" si="10">D10/D3</f>
        <v>0.12137815918863508</v>
      </c>
      <c r="E11" s="232">
        <f t="shared" si="10"/>
        <v>0.11902529464421556</v>
      </c>
      <c r="F11" s="232">
        <f t="shared" si="10"/>
        <v>0.12322108040762476</v>
      </c>
      <c r="G11" s="232">
        <f>F11</f>
        <v>0.12322108040762476</v>
      </c>
      <c r="H11" s="232">
        <f>G11</f>
        <v>0.12322108040762476</v>
      </c>
      <c r="I11" s="232">
        <f t="shared" ref="I11:P11" si="11">H11</f>
        <v>0.12322108040762476</v>
      </c>
      <c r="J11" s="232">
        <f t="shared" si="11"/>
        <v>0.12322108040762476</v>
      </c>
      <c r="K11" s="232">
        <f t="shared" si="11"/>
        <v>0.12322108040762476</v>
      </c>
      <c r="L11" s="232">
        <f t="shared" si="11"/>
        <v>0.12322108040762476</v>
      </c>
      <c r="M11" s="232">
        <f t="shared" si="11"/>
        <v>0.12322108040762476</v>
      </c>
      <c r="N11" s="232">
        <f t="shared" si="11"/>
        <v>0.12322108040762476</v>
      </c>
      <c r="O11" s="232">
        <f t="shared" si="11"/>
        <v>0.12322108040762476</v>
      </c>
      <c r="P11" s="233">
        <f t="shared" si="11"/>
        <v>0.12322108040762476</v>
      </c>
      <c r="Q11" s="7"/>
      <c r="R11" s="163" t="s">
        <v>396</v>
      </c>
    </row>
    <row r="12" spans="2:18" ht="16" thickBot="1">
      <c r="B12" s="151" t="s">
        <v>332</v>
      </c>
      <c r="C12" s="178">
        <f>SUM(C8+C10)</f>
        <v>10660.7</v>
      </c>
      <c r="D12" s="178">
        <f>SUM(D8+D10)</f>
        <v>13784.1</v>
      </c>
      <c r="E12" s="178">
        <f>SUM(E8+E10)</f>
        <v>13979.1</v>
      </c>
      <c r="F12" s="178">
        <f>SUM(F8+F10)</f>
        <v>15735.900000000001</v>
      </c>
      <c r="G12" s="178">
        <f>(G10+G8)*(1+$R$12)</f>
        <v>19512.621232336893</v>
      </c>
      <c r="H12" s="178">
        <f>(H10+H8)*(1+$R$12)</f>
        <v>22579.813370918047</v>
      </c>
      <c r="I12" s="178">
        <f t="shared" ref="I12:P12" si="12">(I10+I8)*(1+$R$12)</f>
        <v>25431.809698944729</v>
      </c>
      <c r="J12" s="178">
        <f t="shared" si="12"/>
        <v>27996.073797483125</v>
      </c>
      <c r="K12" s="178">
        <f t="shared" si="12"/>
        <v>30811.878235185406</v>
      </c>
      <c r="L12" s="178">
        <f t="shared" si="12"/>
        <v>33257.090246829168</v>
      </c>
      <c r="M12" s="178">
        <f t="shared" si="12"/>
        <v>35375.755061373493</v>
      </c>
      <c r="N12" s="178">
        <f t="shared" si="12"/>
        <v>37379.168152376849</v>
      </c>
      <c r="O12" s="178">
        <f t="shared" si="12"/>
        <v>39305.615751896774</v>
      </c>
      <c r="P12" s="234">
        <f t="shared" si="12"/>
        <v>41131.196497229961</v>
      </c>
      <c r="Q12" s="4"/>
      <c r="R12" s="304"/>
    </row>
    <row r="13" spans="2:18">
      <c r="B13" s="151" t="s">
        <v>333</v>
      </c>
      <c r="C13" s="230">
        <f>C12/C3</f>
        <v>0.5034949512123702</v>
      </c>
      <c r="D13" s="230">
        <f>D12/D3</f>
        <v>0.50017598925921225</v>
      </c>
      <c r="E13" s="230">
        <f>E12/E3</f>
        <v>0.49460954112989114</v>
      </c>
      <c r="F13" s="230">
        <f>F12/F3</f>
        <v>0.48170188537161018</v>
      </c>
      <c r="G13" s="230">
        <f t="shared" ref="G13:P13" si="13">G12/G3</f>
        <v>0.47970188537161024</v>
      </c>
      <c r="H13" s="230">
        <f t="shared" si="13"/>
        <v>0.47770188537161018</v>
      </c>
      <c r="I13" s="230">
        <f t="shared" si="13"/>
        <v>0.47570188537161023</v>
      </c>
      <c r="J13" s="230">
        <f t="shared" si="13"/>
        <v>0.47370188537161023</v>
      </c>
      <c r="K13" s="230">
        <f t="shared" si="13"/>
        <v>0.47170188537161017</v>
      </c>
      <c r="L13" s="230">
        <f t="shared" si="13"/>
        <v>0.46970188537161023</v>
      </c>
      <c r="M13" s="230">
        <f t="shared" si="13"/>
        <v>0.46770188537161012</v>
      </c>
      <c r="N13" s="230">
        <f t="shared" si="13"/>
        <v>0.46570188537161017</v>
      </c>
      <c r="O13" s="230">
        <f t="shared" si="13"/>
        <v>0.46370188537161017</v>
      </c>
      <c r="P13" s="231">
        <f t="shared" si="13"/>
        <v>0.46170188537161017</v>
      </c>
      <c r="Q13" s="8"/>
    </row>
    <row r="14" spans="2:18">
      <c r="B14" s="151"/>
      <c r="C14" s="203"/>
      <c r="D14" s="203"/>
      <c r="E14" s="203"/>
      <c r="F14" s="203"/>
      <c r="G14" s="203"/>
      <c r="H14" s="203"/>
      <c r="I14" s="203"/>
      <c r="J14" s="203"/>
      <c r="K14" s="203"/>
      <c r="L14" s="203"/>
      <c r="M14" s="203"/>
      <c r="N14" s="203"/>
      <c r="O14" s="203"/>
      <c r="P14" s="235"/>
    </row>
    <row r="15" spans="2:18" s="61" customFormat="1">
      <c r="B15" s="204"/>
      <c r="C15" s="195">
        <v>2022</v>
      </c>
      <c r="D15" s="195">
        <v>2023</v>
      </c>
      <c r="E15" s="195">
        <v>2024</v>
      </c>
      <c r="F15" s="195">
        <v>2025</v>
      </c>
      <c r="G15" s="195" t="s">
        <v>105</v>
      </c>
      <c r="H15" s="195" t="s">
        <v>106</v>
      </c>
      <c r="I15" s="195" t="s">
        <v>107</v>
      </c>
      <c r="J15" s="195" t="s">
        <v>108</v>
      </c>
      <c r="K15" s="195" t="s">
        <v>109</v>
      </c>
      <c r="L15" s="196" t="s">
        <v>374</v>
      </c>
      <c r="M15" s="196" t="s">
        <v>375</v>
      </c>
      <c r="N15" s="196" t="s">
        <v>376</v>
      </c>
      <c r="O15" s="196" t="s">
        <v>377</v>
      </c>
      <c r="P15" s="197" t="s">
        <v>378</v>
      </c>
      <c r="Q15" s="82"/>
    </row>
    <row r="16" spans="2:18">
      <c r="B16" s="151" t="s">
        <v>334</v>
      </c>
      <c r="C16" s="155">
        <v>909.6</v>
      </c>
      <c r="D16" s="179">
        <v>1149.4000000000001</v>
      </c>
      <c r="E16" s="179">
        <v>1165.7</v>
      </c>
      <c r="F16" s="227">
        <v>1257.8</v>
      </c>
      <c r="G16" s="227">
        <f>G17*G3</f>
        <v>1525.5065611385164</v>
      </c>
      <c r="H16" s="227">
        <f t="shared" ref="H16:P16" si="14">H17*H3</f>
        <v>1725.4244123885137</v>
      </c>
      <c r="I16" s="227">
        <f t="shared" si="14"/>
        <v>1898.0670262390595</v>
      </c>
      <c r="J16" s="227">
        <f t="shared" si="14"/>
        <v>2039.1684024325564</v>
      </c>
      <c r="K16" s="227">
        <f t="shared" si="14"/>
        <v>2188.4599464239727</v>
      </c>
      <c r="L16" s="227">
        <f t="shared" si="14"/>
        <v>2301.3881436720881</v>
      </c>
      <c r="M16" s="227">
        <f t="shared" si="14"/>
        <v>2382.8303933883558</v>
      </c>
      <c r="N16" s="227">
        <f t="shared" si="14"/>
        <v>2448.3244092406708</v>
      </c>
      <c r="O16" s="227">
        <f t="shared" si="14"/>
        <v>2500.8454590607639</v>
      </c>
      <c r="P16" s="228">
        <f t="shared" si="14"/>
        <v>2539.2494932142281</v>
      </c>
    </row>
    <row r="17" spans="1:17">
      <c r="B17" s="151" t="s">
        <v>335</v>
      </c>
      <c r="C17" s="230">
        <f t="shared" ref="C17:F17" si="15">C16/C3</f>
        <v>4.2959562469891466E-2</v>
      </c>
      <c r="D17" s="230">
        <f t="shared" si="15"/>
        <v>4.1707640111036524E-2</v>
      </c>
      <c r="E17" s="230">
        <f t="shared" si="15"/>
        <v>4.1244882867646278E-2</v>
      </c>
      <c r="F17" s="230">
        <f t="shared" si="15"/>
        <v>3.8503335139420766E-2</v>
      </c>
      <c r="G17" s="230">
        <f>F17-0.001</f>
        <v>3.7503335139420765E-2</v>
      </c>
      <c r="H17" s="230">
        <f t="shared" ref="H17:P17" si="16">G17-0.001</f>
        <v>3.6503335139420764E-2</v>
      </c>
      <c r="I17" s="230">
        <f t="shared" si="16"/>
        <v>3.5503335139420764E-2</v>
      </c>
      <c r="J17" s="230">
        <f t="shared" si="16"/>
        <v>3.4503335139420763E-2</v>
      </c>
      <c r="K17" s="230">
        <f t="shared" si="16"/>
        <v>3.3503335139420762E-2</v>
      </c>
      <c r="L17" s="230">
        <f t="shared" si="16"/>
        <v>3.2503335139420761E-2</v>
      </c>
      <c r="M17" s="230">
        <f t="shared" si="16"/>
        <v>3.150333513942076E-2</v>
      </c>
      <c r="N17" s="230">
        <f t="shared" si="16"/>
        <v>3.0503335139420759E-2</v>
      </c>
      <c r="O17" s="230">
        <f t="shared" si="16"/>
        <v>2.9503335139420758E-2</v>
      </c>
      <c r="P17" s="231">
        <f t="shared" si="16"/>
        <v>2.8503335139420757E-2</v>
      </c>
      <c r="Q17" s="8"/>
    </row>
    <row r="18" spans="1:17">
      <c r="B18" s="151"/>
      <c r="C18" s="203"/>
      <c r="D18" s="203"/>
      <c r="E18" s="203"/>
      <c r="F18" s="203"/>
      <c r="G18" s="203"/>
      <c r="H18" s="203"/>
      <c r="I18" s="203"/>
      <c r="J18" s="203"/>
      <c r="K18" s="203"/>
      <c r="L18" s="203"/>
      <c r="M18" s="203"/>
      <c r="N18" s="203"/>
      <c r="O18" s="203"/>
      <c r="P18" s="235"/>
    </row>
    <row r="19" spans="1:17" s="61" customFormat="1">
      <c r="B19" s="204"/>
      <c r="C19" s="195">
        <v>2022</v>
      </c>
      <c r="D19" s="195">
        <v>2023</v>
      </c>
      <c r="E19" s="195">
        <v>2024</v>
      </c>
      <c r="F19" s="195">
        <v>2025</v>
      </c>
      <c r="G19" s="195" t="s">
        <v>105</v>
      </c>
      <c r="H19" s="195" t="s">
        <v>106</v>
      </c>
      <c r="I19" s="195" t="s">
        <v>107</v>
      </c>
      <c r="J19" s="195" t="s">
        <v>108</v>
      </c>
      <c r="K19" s="195" t="s">
        <v>109</v>
      </c>
      <c r="L19" s="196" t="s">
        <v>374</v>
      </c>
      <c r="M19" s="196" t="s">
        <v>375</v>
      </c>
      <c r="N19" s="196" t="s">
        <v>376</v>
      </c>
      <c r="O19" s="196" t="s">
        <v>377</v>
      </c>
      <c r="P19" s="197" t="s">
        <v>378</v>
      </c>
      <c r="Q19" s="82"/>
    </row>
    <row r="20" spans="1:17">
      <c r="B20" s="151" t="s">
        <v>336</v>
      </c>
      <c r="C20" s="179">
        <v>2282.1</v>
      </c>
      <c r="D20" s="179">
        <v>3113.1</v>
      </c>
      <c r="E20" s="155">
        <v>3181</v>
      </c>
      <c r="F20" s="179">
        <v>3619.6</v>
      </c>
      <c r="G20" s="227">
        <f>G21*G3</f>
        <v>4516.0853139030942</v>
      </c>
      <c r="H20" s="227">
        <f t="shared" ref="H20:P20" si="17">H21*H3</f>
        <v>5247.8491335368262</v>
      </c>
      <c r="I20" s="227">
        <f t="shared" si="17"/>
        <v>5935.5414361776702</v>
      </c>
      <c r="J20" s="227">
        <f t="shared" si="17"/>
        <v>6561.6032195633516</v>
      </c>
      <c r="K20" s="227">
        <f t="shared" si="17"/>
        <v>7252.1789089678541</v>
      </c>
      <c r="L20" s="227">
        <f t="shared" si="17"/>
        <v>7861.0379731563189</v>
      </c>
      <c r="M20" s="227">
        <f t="shared" si="17"/>
        <v>8397.5876649752809</v>
      </c>
      <c r="N20" s="227">
        <f t="shared" si="17"/>
        <v>8911.2696366968376</v>
      </c>
      <c r="O20" s="227">
        <f t="shared" si="17"/>
        <v>9410.9548784832969</v>
      </c>
      <c r="P20" s="228">
        <f t="shared" si="17"/>
        <v>9890.7139974752608</v>
      </c>
    </row>
    <row r="21" spans="1:17">
      <c r="B21" s="151" t="s">
        <v>337</v>
      </c>
      <c r="C21" s="230">
        <f>C20/C3</f>
        <v>0.10778146164527189</v>
      </c>
      <c r="D21" s="230">
        <f>D20/D3</f>
        <v>0.11296333254712702</v>
      </c>
      <c r="E21" s="230">
        <f>E20/E3</f>
        <v>0.11255037522688754</v>
      </c>
      <c r="F21" s="230">
        <f>F20/F3</f>
        <v>0.11080193343190285</v>
      </c>
      <c r="G21" s="230">
        <f>AVERAGE(C21:F21)</f>
        <v>0.11102427571279733</v>
      </c>
      <c r="H21" s="230">
        <f>G21</f>
        <v>0.11102427571279733</v>
      </c>
      <c r="I21" s="230">
        <f t="shared" ref="I21:P21" si="18">H21</f>
        <v>0.11102427571279733</v>
      </c>
      <c r="J21" s="230">
        <f t="shared" si="18"/>
        <v>0.11102427571279733</v>
      </c>
      <c r="K21" s="230">
        <f t="shared" si="18"/>
        <v>0.11102427571279733</v>
      </c>
      <c r="L21" s="230">
        <f t="shared" si="18"/>
        <v>0.11102427571279733</v>
      </c>
      <c r="M21" s="230">
        <f t="shared" si="18"/>
        <v>0.11102427571279733</v>
      </c>
      <c r="N21" s="230">
        <f t="shared" si="18"/>
        <v>0.11102427571279733</v>
      </c>
      <c r="O21" s="230">
        <f t="shared" si="18"/>
        <v>0.11102427571279733</v>
      </c>
      <c r="P21" s="231">
        <f t="shared" si="18"/>
        <v>0.11102427571279733</v>
      </c>
      <c r="Q21" s="8"/>
    </row>
    <row r="22" spans="1:17">
      <c r="A22" s="1"/>
      <c r="B22" s="151"/>
      <c r="C22" s="203"/>
      <c r="D22" s="203"/>
      <c r="E22" s="203"/>
      <c r="F22" s="203"/>
      <c r="G22" s="203"/>
      <c r="H22" s="203"/>
      <c r="I22" s="203"/>
      <c r="J22" s="203"/>
      <c r="K22" s="203"/>
      <c r="L22" s="203"/>
      <c r="M22" s="203"/>
      <c r="N22" s="203"/>
      <c r="O22" s="203"/>
      <c r="P22" s="235"/>
    </row>
    <row r="23" spans="1:17" s="61" customFormat="1">
      <c r="B23" s="236"/>
      <c r="C23" s="195">
        <v>2022</v>
      </c>
      <c r="D23" s="195">
        <v>2023</v>
      </c>
      <c r="E23" s="195">
        <v>2024</v>
      </c>
      <c r="F23" s="195">
        <v>2025</v>
      </c>
      <c r="G23" s="195" t="s">
        <v>105</v>
      </c>
      <c r="H23" s="195" t="s">
        <v>106</v>
      </c>
      <c r="I23" s="195" t="s">
        <v>107</v>
      </c>
      <c r="J23" s="195" t="s">
        <v>108</v>
      </c>
      <c r="K23" s="195" t="s">
        <v>109</v>
      </c>
      <c r="L23" s="196" t="s">
        <v>374</v>
      </c>
      <c r="M23" s="196" t="s">
        <v>375</v>
      </c>
      <c r="N23" s="196" t="s">
        <v>376</v>
      </c>
      <c r="O23" s="196" t="s">
        <v>377</v>
      </c>
      <c r="P23" s="197" t="s">
        <v>378</v>
      </c>
      <c r="Q23" s="82"/>
    </row>
    <row r="24" spans="1:17">
      <c r="B24" s="237" t="s">
        <v>338</v>
      </c>
      <c r="C24" s="238">
        <f>C20+C16</f>
        <v>3191.7</v>
      </c>
      <c r="D24" s="238">
        <f t="shared" ref="D24:P24" si="19">D20+D16</f>
        <v>4262.5</v>
      </c>
      <c r="E24" s="238">
        <f t="shared" si="19"/>
        <v>4346.7</v>
      </c>
      <c r="F24" s="238">
        <f>F20+F16</f>
        <v>4877.3999999999996</v>
      </c>
      <c r="G24" s="238">
        <f>G20+G16</f>
        <v>6041.5918750416104</v>
      </c>
      <c r="H24" s="238">
        <f t="shared" si="19"/>
        <v>6973.2735459253399</v>
      </c>
      <c r="I24" s="238">
        <f t="shared" si="19"/>
        <v>7833.6084624167297</v>
      </c>
      <c r="J24" s="238">
        <f t="shared" si="19"/>
        <v>8600.7716219959075</v>
      </c>
      <c r="K24" s="238">
        <f t="shared" si="19"/>
        <v>9440.6388553918259</v>
      </c>
      <c r="L24" s="238">
        <f t="shared" si="19"/>
        <v>10162.426116828407</v>
      </c>
      <c r="M24" s="238">
        <f t="shared" si="19"/>
        <v>10780.418058363637</v>
      </c>
      <c r="N24" s="238">
        <f t="shared" si="19"/>
        <v>11359.594045937509</v>
      </c>
      <c r="O24" s="238">
        <f t="shared" si="19"/>
        <v>11911.80033754406</v>
      </c>
      <c r="P24" s="239">
        <f t="shared" si="19"/>
        <v>12429.96349068949</v>
      </c>
      <c r="Q24" s="10"/>
    </row>
    <row r="25" spans="1:17">
      <c r="B25" s="151" t="s">
        <v>339</v>
      </c>
      <c r="C25" s="230">
        <f t="shared" ref="C25:P25" si="20">C24/C3</f>
        <v>0.15074102411516335</v>
      </c>
      <c r="D25" s="230">
        <f t="shared" si="20"/>
        <v>0.15467097265816354</v>
      </c>
      <c r="E25" s="230">
        <f t="shared" si="20"/>
        <v>0.15379525809453382</v>
      </c>
      <c r="F25" s="230">
        <f t="shared" si="20"/>
        <v>0.14930526857132362</v>
      </c>
      <c r="G25" s="230">
        <f t="shared" si="20"/>
        <v>0.14852761085221811</v>
      </c>
      <c r="H25" s="230">
        <f t="shared" si="20"/>
        <v>0.14752761085221808</v>
      </c>
      <c r="I25" s="230">
        <f t="shared" si="20"/>
        <v>0.1465276108522181</v>
      </c>
      <c r="J25" s="230">
        <f t="shared" si="20"/>
        <v>0.14552761085221808</v>
      </c>
      <c r="K25" s="230">
        <f t="shared" si="20"/>
        <v>0.14452761085221807</v>
      </c>
      <c r="L25" s="230">
        <f t="shared" si="20"/>
        <v>0.14352761085221807</v>
      </c>
      <c r="M25" s="230">
        <f t="shared" si="20"/>
        <v>0.14252761085221807</v>
      </c>
      <c r="N25" s="230">
        <f t="shared" si="20"/>
        <v>0.1415276108522181</v>
      </c>
      <c r="O25" s="230">
        <f t="shared" si="20"/>
        <v>0.14052761085221807</v>
      </c>
      <c r="P25" s="231">
        <f t="shared" si="20"/>
        <v>0.1395276108522181</v>
      </c>
      <c r="Q25" s="8"/>
    </row>
    <row r="26" spans="1:17">
      <c r="B26" s="151"/>
      <c r="C26" s="203"/>
      <c r="D26" s="203"/>
      <c r="E26" s="203"/>
      <c r="F26" s="203"/>
      <c r="G26" s="203"/>
      <c r="H26" s="203"/>
      <c r="I26" s="203"/>
      <c r="J26" s="203"/>
      <c r="K26" s="203"/>
      <c r="L26" s="203"/>
      <c r="M26" s="203"/>
      <c r="N26" s="203"/>
      <c r="O26" s="203"/>
      <c r="P26" s="235"/>
    </row>
    <row r="27" spans="1:17" s="61" customFormat="1">
      <c r="B27" s="204"/>
      <c r="C27" s="195">
        <v>2022</v>
      </c>
      <c r="D27" s="195">
        <v>2023</v>
      </c>
      <c r="E27" s="195">
        <v>2024</v>
      </c>
      <c r="F27" s="195">
        <v>2025</v>
      </c>
      <c r="G27" s="195" t="s">
        <v>105</v>
      </c>
      <c r="H27" s="195" t="s">
        <v>106</v>
      </c>
      <c r="I27" s="195" t="s">
        <v>107</v>
      </c>
      <c r="J27" s="195" t="s">
        <v>108</v>
      </c>
      <c r="K27" s="195" t="s">
        <v>109</v>
      </c>
      <c r="L27" s="196" t="s">
        <v>374</v>
      </c>
      <c r="M27" s="196" t="s">
        <v>375</v>
      </c>
      <c r="N27" s="196" t="s">
        <v>376</v>
      </c>
      <c r="O27" s="196" t="s">
        <v>377</v>
      </c>
      <c r="P27" s="197" t="s">
        <v>378</v>
      </c>
      <c r="Q27" s="82"/>
    </row>
    <row r="28" spans="1:17">
      <c r="B28" s="151" t="s">
        <v>340</v>
      </c>
      <c r="C28" s="227">
        <f t="shared" ref="C28:P28" si="21">C3-C24-C12</f>
        <v>7321</v>
      </c>
      <c r="D28" s="227">
        <f t="shared" si="21"/>
        <v>9511.9</v>
      </c>
      <c r="E28" s="227">
        <f t="shared" si="21"/>
        <v>9937.1</v>
      </c>
      <c r="F28" s="227">
        <f t="shared" si="21"/>
        <v>12054</v>
      </c>
      <c r="G28" s="227">
        <f t="shared" si="21"/>
        <v>15122.344203254263</v>
      </c>
      <c r="H28" s="227">
        <f t="shared" si="21"/>
        <v>17714.495779324818</v>
      </c>
      <c r="I28" s="227">
        <f t="shared" si="21"/>
        <v>20196.236040571821</v>
      </c>
      <c r="J28" s="227">
        <f t="shared" si="21"/>
        <v>22503.771787312817</v>
      </c>
      <c r="K28" s="227">
        <f t="shared" si="21"/>
        <v>25068.142399497909</v>
      </c>
      <c r="L28" s="227">
        <f t="shared" si="21"/>
        <v>27385.160565662023</v>
      </c>
      <c r="M28" s="227">
        <f t="shared" si="21"/>
        <v>29481.227899644844</v>
      </c>
      <c r="N28" s="227">
        <f t="shared" si="21"/>
        <v>31525.39246051824</v>
      </c>
      <c r="O28" s="227">
        <f t="shared" si="21"/>
        <v>33547.423114086014</v>
      </c>
      <c r="P28" s="228">
        <f t="shared" si="21"/>
        <v>35524.888391815184</v>
      </c>
      <c r="Q28" s="5"/>
    </row>
    <row r="29" spans="1:17">
      <c r="B29" s="151" t="s">
        <v>341</v>
      </c>
      <c r="C29" s="230">
        <f>(C28/C3)</f>
        <v>0.34576402467246636</v>
      </c>
      <c r="D29" s="230">
        <f t="shared" ref="D29:P29" si="22">D28/D3</f>
        <v>0.34515303808262421</v>
      </c>
      <c r="E29" s="230">
        <f t="shared" si="22"/>
        <v>0.35159520077557505</v>
      </c>
      <c r="F29" s="230">
        <f t="shared" si="22"/>
        <v>0.36899284605706623</v>
      </c>
      <c r="G29" s="230">
        <f t="shared" si="22"/>
        <v>0.37177050377617171</v>
      </c>
      <c r="H29" s="230">
        <f t="shared" si="22"/>
        <v>0.37477050377617177</v>
      </c>
      <c r="I29" s="230">
        <f t="shared" si="22"/>
        <v>0.37777050377617172</v>
      </c>
      <c r="J29" s="230">
        <f t="shared" si="22"/>
        <v>0.38077050377617178</v>
      </c>
      <c r="K29" s="230">
        <f t="shared" si="22"/>
        <v>0.38377050377617167</v>
      </c>
      <c r="L29" s="230">
        <f t="shared" si="22"/>
        <v>0.38677050377617173</v>
      </c>
      <c r="M29" s="230">
        <f t="shared" si="22"/>
        <v>0.38977050377617184</v>
      </c>
      <c r="N29" s="230">
        <f t="shared" si="22"/>
        <v>0.39277050377617173</v>
      </c>
      <c r="O29" s="230">
        <f t="shared" si="22"/>
        <v>0.39577050377617173</v>
      </c>
      <c r="P29" s="231">
        <f t="shared" si="22"/>
        <v>0.39877050377617168</v>
      </c>
      <c r="Q29" s="8"/>
    </row>
    <row r="30" spans="1:17">
      <c r="B30" s="151"/>
      <c r="C30" s="203"/>
      <c r="D30" s="203"/>
      <c r="E30" s="203"/>
      <c r="F30" s="203"/>
      <c r="G30" s="203"/>
      <c r="H30" s="203"/>
      <c r="I30" s="203"/>
      <c r="J30" s="203"/>
      <c r="K30" s="203"/>
      <c r="L30" s="203"/>
      <c r="M30" s="203"/>
      <c r="N30" s="203"/>
      <c r="O30" s="203"/>
      <c r="P30" s="235"/>
    </row>
    <row r="31" spans="1:17" s="61" customFormat="1">
      <c r="B31" s="204"/>
      <c r="C31" s="195">
        <v>2022</v>
      </c>
      <c r="D31" s="195">
        <v>2023</v>
      </c>
      <c r="E31" s="195">
        <v>2024</v>
      </c>
      <c r="F31" s="195">
        <v>2025</v>
      </c>
      <c r="G31" s="195" t="s">
        <v>105</v>
      </c>
      <c r="H31" s="195" t="s">
        <v>106</v>
      </c>
      <c r="I31" s="195" t="s">
        <v>107</v>
      </c>
      <c r="J31" s="195" t="s">
        <v>108</v>
      </c>
      <c r="K31" s="195" t="s">
        <v>109</v>
      </c>
      <c r="L31" s="196" t="s">
        <v>374</v>
      </c>
      <c r="M31" s="196" t="s">
        <v>375</v>
      </c>
      <c r="N31" s="196" t="s">
        <v>376</v>
      </c>
      <c r="O31" s="196" t="s">
        <v>377</v>
      </c>
      <c r="P31" s="197" t="s">
        <v>378</v>
      </c>
      <c r="Q31" s="82"/>
    </row>
    <row r="32" spans="1:17">
      <c r="B32" s="151" t="s">
        <v>342</v>
      </c>
      <c r="C32" s="155">
        <v>445.2</v>
      </c>
      <c r="D32" s="155">
        <v>605.6</v>
      </c>
      <c r="E32" s="155">
        <v>787.3</v>
      </c>
      <c r="F32" s="155">
        <v>916</v>
      </c>
      <c r="G32" s="227">
        <f t="shared" ref="G32:P32" si="23">G33*G3</f>
        <v>1140.5817590232316</v>
      </c>
      <c r="H32" s="227">
        <f t="shared" si="23"/>
        <v>1325.3959081310691</v>
      </c>
      <c r="I32" s="227">
        <f t="shared" si="23"/>
        <v>1499.0793622053516</v>
      </c>
      <c r="J32" s="227">
        <f t="shared" si="23"/>
        <v>1657.1974225424608</v>
      </c>
      <c r="K32" s="227">
        <f t="shared" si="23"/>
        <v>1831.6091043002891</v>
      </c>
      <c r="L32" s="227">
        <f t="shared" si="23"/>
        <v>1985.3824487256904</v>
      </c>
      <c r="M32" s="227">
        <f t="shared" si="23"/>
        <v>2120.8933500397611</v>
      </c>
      <c r="N32" s="227">
        <f t="shared" si="23"/>
        <v>2250.6287837528862</v>
      </c>
      <c r="O32" s="227">
        <f t="shared" si="23"/>
        <v>2376.8292056714386</v>
      </c>
      <c r="P32" s="228">
        <f t="shared" si="23"/>
        <v>2497.9970893167456</v>
      </c>
      <c r="Q32" s="5"/>
    </row>
    <row r="33" spans="2:18">
      <c r="B33" s="151" t="s">
        <v>371</v>
      </c>
      <c r="C33" s="230">
        <f>C32/C3</f>
        <v>2.1026382158746349E-2</v>
      </c>
      <c r="D33" s="230">
        <f>D32/D3</f>
        <v>2.1975071212148704E-2</v>
      </c>
      <c r="E33" s="230">
        <f>E32/E3</f>
        <v>2.7856306323837961E-2</v>
      </c>
      <c r="F33" s="230">
        <f>F32/F3</f>
        <v>2.8040272688590731E-2</v>
      </c>
      <c r="G33" s="170">
        <f>F33</f>
        <v>2.8040272688590731E-2</v>
      </c>
      <c r="H33" s="170">
        <f t="shared" ref="H33:P33" si="24">G33</f>
        <v>2.8040272688590731E-2</v>
      </c>
      <c r="I33" s="170">
        <f t="shared" si="24"/>
        <v>2.8040272688590731E-2</v>
      </c>
      <c r="J33" s="170">
        <f t="shared" si="24"/>
        <v>2.8040272688590731E-2</v>
      </c>
      <c r="K33" s="170">
        <f t="shared" si="24"/>
        <v>2.8040272688590731E-2</v>
      </c>
      <c r="L33" s="170">
        <f t="shared" si="24"/>
        <v>2.8040272688590731E-2</v>
      </c>
      <c r="M33" s="170">
        <f t="shared" si="24"/>
        <v>2.8040272688590731E-2</v>
      </c>
      <c r="N33" s="170">
        <f t="shared" si="24"/>
        <v>2.8040272688590731E-2</v>
      </c>
      <c r="O33" s="170">
        <f t="shared" si="24"/>
        <v>2.8040272688590731E-2</v>
      </c>
      <c r="P33" s="171">
        <f t="shared" si="24"/>
        <v>2.8040272688590731E-2</v>
      </c>
      <c r="Q33" s="63"/>
    </row>
    <row r="34" spans="2:18">
      <c r="B34" s="151"/>
      <c r="C34" s="203"/>
      <c r="D34" s="203"/>
      <c r="E34" s="203"/>
      <c r="F34" s="203"/>
      <c r="G34" s="203"/>
      <c r="H34" s="203"/>
      <c r="I34" s="203"/>
      <c r="J34" s="203"/>
      <c r="K34" s="203"/>
      <c r="L34" s="203"/>
      <c r="M34" s="203"/>
      <c r="N34" s="203"/>
      <c r="O34" s="203"/>
      <c r="P34" s="235"/>
    </row>
    <row r="35" spans="2:18" s="61" customFormat="1">
      <c r="B35" s="204"/>
      <c r="C35" s="195">
        <v>2022</v>
      </c>
      <c r="D35" s="195">
        <v>2023</v>
      </c>
      <c r="E35" s="195">
        <v>2024</v>
      </c>
      <c r="F35" s="195">
        <v>2025</v>
      </c>
      <c r="G35" s="195" t="s">
        <v>105</v>
      </c>
      <c r="H35" s="195" t="s">
        <v>106</v>
      </c>
      <c r="I35" s="195" t="s">
        <v>107</v>
      </c>
      <c r="J35" s="195" t="s">
        <v>108</v>
      </c>
      <c r="K35" s="195" t="s">
        <v>109</v>
      </c>
      <c r="L35" s="196" t="s">
        <v>374</v>
      </c>
      <c r="M35" s="196" t="s">
        <v>375</v>
      </c>
      <c r="N35" s="196" t="s">
        <v>376</v>
      </c>
      <c r="O35" s="196" t="s">
        <v>377</v>
      </c>
      <c r="P35" s="197" t="s">
        <v>378</v>
      </c>
      <c r="Q35" s="82"/>
    </row>
    <row r="36" spans="2:18">
      <c r="B36" s="151" t="s">
        <v>1</v>
      </c>
      <c r="C36" s="227">
        <f t="shared" ref="C36:P36" si="25">C28+C32</f>
        <v>7766.2</v>
      </c>
      <c r="D36" s="227">
        <f t="shared" si="25"/>
        <v>10117.5</v>
      </c>
      <c r="E36" s="227">
        <f t="shared" si="25"/>
        <v>10724.4</v>
      </c>
      <c r="F36" s="227">
        <f t="shared" si="25"/>
        <v>12970</v>
      </c>
      <c r="G36" s="227">
        <f t="shared" si="25"/>
        <v>16262.925962277493</v>
      </c>
      <c r="H36" s="227">
        <f t="shared" si="25"/>
        <v>19039.891687455885</v>
      </c>
      <c r="I36" s="227">
        <f t="shared" si="25"/>
        <v>21695.315402777174</v>
      </c>
      <c r="J36" s="227">
        <f t="shared" si="25"/>
        <v>24160.969209855277</v>
      </c>
      <c r="K36" s="227">
        <f t="shared" si="25"/>
        <v>26899.751503798198</v>
      </c>
      <c r="L36" s="227">
        <f t="shared" si="25"/>
        <v>29370.543014387713</v>
      </c>
      <c r="M36" s="227">
        <f t="shared" si="25"/>
        <v>31602.121249684606</v>
      </c>
      <c r="N36" s="227">
        <f t="shared" si="25"/>
        <v>33776.021244271127</v>
      </c>
      <c r="O36" s="227">
        <f t="shared" si="25"/>
        <v>35924.252319757456</v>
      </c>
      <c r="P36" s="228">
        <f t="shared" si="25"/>
        <v>38022.885481131932</v>
      </c>
      <c r="Q36" s="5"/>
      <c r="R36" s="317"/>
    </row>
    <row r="37" spans="2:18" ht="16" thickBot="1">
      <c r="B37" s="160" t="s">
        <v>343</v>
      </c>
      <c r="C37" s="240">
        <f t="shared" ref="C37:P37" si="26">C36/C3</f>
        <v>0.36679040683121272</v>
      </c>
      <c r="D37" s="240">
        <f t="shared" si="26"/>
        <v>0.36712810929477296</v>
      </c>
      <c r="E37" s="240">
        <f t="shared" si="26"/>
        <v>0.379451507099413</v>
      </c>
      <c r="F37" s="240">
        <f t="shared" si="26"/>
        <v>0.397033118745657</v>
      </c>
      <c r="G37" s="240">
        <f t="shared" si="26"/>
        <v>0.39981077646476243</v>
      </c>
      <c r="H37" s="240">
        <f t="shared" si="26"/>
        <v>0.40281077646476249</v>
      </c>
      <c r="I37" s="240">
        <f t="shared" si="26"/>
        <v>0.40581077646476249</v>
      </c>
      <c r="J37" s="240">
        <f t="shared" si="26"/>
        <v>0.40881077646476249</v>
      </c>
      <c r="K37" s="240">
        <f t="shared" si="26"/>
        <v>0.41181077646476244</v>
      </c>
      <c r="L37" s="240">
        <f t="shared" si="26"/>
        <v>0.41481077646476244</v>
      </c>
      <c r="M37" s="240">
        <f t="shared" si="26"/>
        <v>0.41781077646476256</v>
      </c>
      <c r="N37" s="240">
        <f t="shared" si="26"/>
        <v>0.42081077646476245</v>
      </c>
      <c r="O37" s="240">
        <f t="shared" si="26"/>
        <v>0.42381077646476251</v>
      </c>
      <c r="P37" s="241">
        <f t="shared" si="26"/>
        <v>0.42681077646476245</v>
      </c>
      <c r="Q37" s="8"/>
    </row>
    <row r="41" spans="2:18">
      <c r="C41" s="6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FB128-A919-7E4A-8E52-D6F92E9C715E}">
  <sheetPr>
    <tabColor theme="4"/>
  </sheetPr>
  <dimension ref="A2:Q30"/>
  <sheetViews>
    <sheetView workbookViewId="0">
      <selection activeCell="C25" sqref="C25"/>
    </sheetView>
  </sheetViews>
  <sheetFormatPr baseColWidth="10" defaultColWidth="11.5" defaultRowHeight="15"/>
  <cols>
    <col min="2" max="2" width="37.6640625" bestFit="1" customWidth="1"/>
  </cols>
  <sheetData>
    <row r="2" spans="2:16">
      <c r="C2">
        <v>2022</v>
      </c>
      <c r="D2">
        <v>2023</v>
      </c>
      <c r="E2">
        <v>2024</v>
      </c>
      <c r="F2">
        <v>2025</v>
      </c>
      <c r="G2" t="s">
        <v>105</v>
      </c>
      <c r="H2" t="s">
        <v>106</v>
      </c>
      <c r="I2" t="s">
        <v>107</v>
      </c>
      <c r="J2" t="s">
        <v>108</v>
      </c>
      <c r="K2" t="s">
        <v>109</v>
      </c>
      <c r="L2" s="64" t="s">
        <v>374</v>
      </c>
      <c r="M2" s="64" t="s">
        <v>375</v>
      </c>
      <c r="N2" s="64" t="s">
        <v>376</v>
      </c>
      <c r="O2" s="64" t="s">
        <v>377</v>
      </c>
      <c r="P2" s="64" t="s">
        <v>378</v>
      </c>
    </row>
    <row r="3" spans="2:16">
      <c r="B3" t="s">
        <v>3</v>
      </c>
      <c r="C3" s="3">
        <f>'ASML Revenue Model'!C7</f>
        <v>21173.4</v>
      </c>
      <c r="D3" s="3">
        <f>'ASML Revenue Model'!D7</f>
        <v>27558.5</v>
      </c>
      <c r="E3" s="3">
        <f>'ASML Revenue Model'!E7</f>
        <v>28262.9</v>
      </c>
      <c r="F3" s="3">
        <f>'ASML Revenue Model'!F7</f>
        <v>32667.3</v>
      </c>
      <c r="G3" s="3">
        <f>'ASML Revenue Model'!G7</f>
        <v>40676.557310632765</v>
      </c>
      <c r="H3" s="3">
        <f>'ASML Revenue Model'!H7</f>
        <v>47267.582696168203</v>
      </c>
      <c r="I3" s="3">
        <f>'ASML Revenue Model'!I7</f>
        <v>53461.654201933277</v>
      </c>
      <c r="J3" s="3">
        <f>'ASML Revenue Model'!J7</f>
        <v>59100.617206791845</v>
      </c>
      <c r="K3" s="3">
        <f>'ASML Revenue Model'!K7</f>
        <v>65320.659490075144</v>
      </c>
      <c r="L3" s="3">
        <f>'ASML Revenue Model'!L7</f>
        <v>70804.676929319598</v>
      </c>
      <c r="M3" s="3">
        <f>'ASML Revenue Model'!M7</f>
        <v>75637.40101938197</v>
      </c>
      <c r="N3" s="3">
        <f>'ASML Revenue Model'!N7</f>
        <v>80264.154658832602</v>
      </c>
      <c r="O3" s="3">
        <f>'ASML Revenue Model'!O7</f>
        <v>84764.839203526848</v>
      </c>
      <c r="P3" s="3">
        <f>'ASML Revenue Model'!P7</f>
        <v>89086.048379734639</v>
      </c>
    </row>
    <row r="4" spans="2:16">
      <c r="B4" t="s">
        <v>327</v>
      </c>
      <c r="D4" s="7">
        <f>D3/C3-1</f>
        <v>0.30156233765007023</v>
      </c>
      <c r="E4" s="7">
        <f>E3/D3-1</f>
        <v>2.5560171997750292E-2</v>
      </c>
      <c r="F4" s="7">
        <f>F3/E3-1</f>
        <v>0.15583680372502462</v>
      </c>
      <c r="G4" s="7">
        <f t="shared" ref="G4:K4" si="0">G3/F3-1</f>
        <v>0.24517659282012172</v>
      </c>
      <c r="H4" s="7">
        <f t="shared" si="0"/>
        <v>0.16203498578313957</v>
      </c>
      <c r="I4" s="7">
        <f t="shared" si="0"/>
        <v>0.13104269675858005</v>
      </c>
      <c r="J4" s="7">
        <f t="shared" si="0"/>
        <v>0.10547677749662032</v>
      </c>
      <c r="K4" s="7">
        <f t="shared" si="0"/>
        <v>0.10524496320435195</v>
      </c>
      <c r="L4" s="7">
        <f t="shared" ref="L4" si="1">L3/K3-1</f>
        <v>8.3955328713080313E-2</v>
      </c>
      <c r="M4" s="7">
        <f t="shared" ref="M4" si="2">M3/L3-1</f>
        <v>6.8254306066343862E-2</v>
      </c>
      <c r="N4" s="7">
        <f t="shared" ref="N4" si="3">N3/M3-1</f>
        <v>6.1170182701875575E-2</v>
      </c>
      <c r="O4" s="7">
        <f t="shared" ref="O4" si="4">O3/N3-1</f>
        <v>5.6073406165238593E-2</v>
      </c>
      <c r="P4" s="7">
        <f t="shared" ref="P4" si="5">P3/O3-1</f>
        <v>5.0978792820360885E-2</v>
      </c>
    </row>
    <row r="7" spans="2:16">
      <c r="C7">
        <v>2022</v>
      </c>
      <c r="D7">
        <v>2023</v>
      </c>
      <c r="E7">
        <v>2024</v>
      </c>
      <c r="F7">
        <v>2025</v>
      </c>
      <c r="G7" t="s">
        <v>105</v>
      </c>
      <c r="H7" t="s">
        <v>106</v>
      </c>
      <c r="I7" t="s">
        <v>107</v>
      </c>
      <c r="J7" t="s">
        <v>108</v>
      </c>
      <c r="K7" t="s">
        <v>109</v>
      </c>
      <c r="L7" s="64" t="s">
        <v>374</v>
      </c>
      <c r="M7" s="64" t="s">
        <v>375</v>
      </c>
      <c r="N7" s="64" t="s">
        <v>376</v>
      </c>
      <c r="O7" s="64" t="s">
        <v>377</v>
      </c>
      <c r="P7" s="64" t="s">
        <v>378</v>
      </c>
    </row>
    <row r="8" spans="2:16">
      <c r="B8" t="s">
        <v>328</v>
      </c>
      <c r="C8" s="3">
        <f>'Cost Analysis'!C8</f>
        <v>7843.3</v>
      </c>
      <c r="D8" s="3">
        <f>'Cost Analysis'!D8</f>
        <v>10439.1</v>
      </c>
      <c r="E8" s="3">
        <f>'Cost Analysis'!E8</f>
        <v>10615.1</v>
      </c>
      <c r="F8" s="3">
        <f>'Cost Analysis'!F8</f>
        <v>11710.6</v>
      </c>
      <c r="G8" s="3">
        <f>'Cost Analysis'!G8</f>
        <v>14500.411893258055</v>
      </c>
      <c r="H8" s="3">
        <f>'Cost Analysis'!H8</f>
        <v>16755.450762839453</v>
      </c>
      <c r="I8" s="3">
        <f>'Cost Analysis'!I8</f>
        <v>18844.206907803677</v>
      </c>
      <c r="J8" s="3">
        <f>'Cost Analysis'!J8</f>
        <v>20713.631892504774</v>
      </c>
      <c r="K8" s="3">
        <f>'Cost Analysis'!K8</f>
        <v>22762.995999879779</v>
      </c>
      <c r="L8" s="3">
        <f>'Cost Analysis'!L8</f>
        <v>24532.461457685582</v>
      </c>
      <c r="M8" s="3">
        <f>'Cost Analysis'!M8</f>
        <v>26055.632788540472</v>
      </c>
      <c r="N8" s="3">
        <f>'Cost Analysis'!N8</f>
        <v>27488.93229731081</v>
      </c>
      <c r="O8" s="3">
        <f>'Cost Analysis'!O8</f>
        <v>28860.800684659611</v>
      </c>
      <c r="P8" s="3">
        <f>'Cost Analysis'!P8</f>
        <v>30153.91736663313</v>
      </c>
    </row>
    <row r="9" spans="2:16">
      <c r="B9" t="s">
        <v>330</v>
      </c>
      <c r="C9" s="3">
        <f>'Cost Analysis'!C10</f>
        <v>2817.4</v>
      </c>
      <c r="D9" s="3">
        <f>'Cost Analysis'!D10</f>
        <v>3345</v>
      </c>
      <c r="E9" s="3">
        <f>'Cost Analysis'!E10</f>
        <v>3364</v>
      </c>
      <c r="F9" s="3">
        <f>'Cost Analysis'!F10</f>
        <v>4025.3</v>
      </c>
      <c r="G9" s="3">
        <f>'Cost Analysis'!G10</f>
        <v>5012.2093390788368</v>
      </c>
      <c r="H9" s="3">
        <f>'Cost Analysis'!H10</f>
        <v>5824.3626080785953</v>
      </c>
      <c r="I9" s="3">
        <f>'Cost Analysis'!I10</f>
        <v>6587.6027911410511</v>
      </c>
      <c r="J9" s="3">
        <f>'Cost Analysis'!J10</f>
        <v>7282.4419049783501</v>
      </c>
      <c r="K9" s="3">
        <f>'Cost Analysis'!K10</f>
        <v>8048.8822353056266</v>
      </c>
      <c r="L9" s="3">
        <f>'Cost Analysis'!L10</f>
        <v>8724.6287891435841</v>
      </c>
      <c r="M9" s="3">
        <f>'Cost Analysis'!M10</f>
        <v>9320.1222728330249</v>
      </c>
      <c r="N9" s="3">
        <f>'Cost Analysis'!N10</f>
        <v>9890.235855066041</v>
      </c>
      <c r="O9" s="3">
        <f>'Cost Analysis'!O10</f>
        <v>10444.815067237165</v>
      </c>
      <c r="P9" s="3">
        <f>'Cost Analysis'!P10</f>
        <v>10977.279130596831</v>
      </c>
    </row>
    <row r="10" spans="2:16">
      <c r="B10" t="s">
        <v>332</v>
      </c>
      <c r="C10" s="4">
        <f>SUM(C8+C9)</f>
        <v>10660.7</v>
      </c>
      <c r="D10" s="4">
        <f t="shared" ref="D10:P10" si="6">SUM(D8+D9)</f>
        <v>13784.1</v>
      </c>
      <c r="E10" s="4">
        <f>SUM(E8+E9)</f>
        <v>13979.1</v>
      </c>
      <c r="F10" s="4">
        <f t="shared" si="6"/>
        <v>15735.900000000001</v>
      </c>
      <c r="G10" s="4">
        <f t="shared" si="6"/>
        <v>19512.621232336893</v>
      </c>
      <c r="H10" s="4">
        <f t="shared" si="6"/>
        <v>22579.813370918047</v>
      </c>
      <c r="I10" s="4">
        <f t="shared" si="6"/>
        <v>25431.809698944729</v>
      </c>
      <c r="J10" s="4">
        <f t="shared" si="6"/>
        <v>27996.073797483125</v>
      </c>
      <c r="K10" s="4">
        <f t="shared" si="6"/>
        <v>30811.878235185406</v>
      </c>
      <c r="L10" s="4">
        <f t="shared" si="6"/>
        <v>33257.090246829168</v>
      </c>
      <c r="M10" s="4">
        <f t="shared" si="6"/>
        <v>35375.755061373493</v>
      </c>
      <c r="N10" s="4">
        <f t="shared" si="6"/>
        <v>37379.168152376849</v>
      </c>
      <c r="O10" s="4">
        <f t="shared" si="6"/>
        <v>39305.615751896774</v>
      </c>
      <c r="P10" s="4">
        <f t="shared" si="6"/>
        <v>41131.196497229961</v>
      </c>
    </row>
    <row r="11" spans="2:16">
      <c r="B11" t="s">
        <v>333</v>
      </c>
      <c r="C11" s="8">
        <f>C10/C3</f>
        <v>0.5034949512123702</v>
      </c>
      <c r="D11" s="8">
        <f t="shared" ref="D11:P11" si="7">D10/D3</f>
        <v>0.50017598925921225</v>
      </c>
      <c r="E11" s="8">
        <f t="shared" si="7"/>
        <v>0.49460954112989114</v>
      </c>
      <c r="F11" s="8">
        <f t="shared" si="7"/>
        <v>0.48170188537161018</v>
      </c>
      <c r="G11" s="5">
        <f t="shared" si="7"/>
        <v>0.47970188537161024</v>
      </c>
      <c r="H11" s="5">
        <f t="shared" si="7"/>
        <v>0.47770188537161018</v>
      </c>
      <c r="I11" s="5">
        <f t="shared" si="7"/>
        <v>0.47570188537161023</v>
      </c>
      <c r="J11" s="5">
        <f t="shared" si="7"/>
        <v>0.47370188537161023</v>
      </c>
      <c r="K11" s="5">
        <f t="shared" si="7"/>
        <v>0.47170188537161017</v>
      </c>
      <c r="L11" s="5">
        <f t="shared" si="7"/>
        <v>0.46970188537161023</v>
      </c>
      <c r="M11" s="5">
        <f t="shared" si="7"/>
        <v>0.46770188537161012</v>
      </c>
      <c r="N11" s="5">
        <f t="shared" si="7"/>
        <v>0.46570188537161017</v>
      </c>
      <c r="O11" s="5">
        <f t="shared" si="7"/>
        <v>0.46370188537161017</v>
      </c>
      <c r="P11" s="5">
        <f t="shared" si="7"/>
        <v>0.46170188537161017</v>
      </c>
    </row>
    <row r="13" spans="2:16">
      <c r="C13">
        <v>2022</v>
      </c>
      <c r="D13">
        <v>2023</v>
      </c>
      <c r="E13">
        <v>2024</v>
      </c>
      <c r="F13">
        <v>2025</v>
      </c>
      <c r="G13" t="s">
        <v>105</v>
      </c>
      <c r="H13" t="s">
        <v>106</v>
      </c>
      <c r="I13" t="s">
        <v>107</v>
      </c>
      <c r="J13" t="s">
        <v>108</v>
      </c>
      <c r="K13" t="s">
        <v>109</v>
      </c>
      <c r="L13" s="64" t="s">
        <v>374</v>
      </c>
      <c r="M13" s="64" t="s">
        <v>375</v>
      </c>
      <c r="N13" s="64" t="s">
        <v>376</v>
      </c>
      <c r="O13" s="64" t="s">
        <v>377</v>
      </c>
      <c r="P13" s="64" t="s">
        <v>378</v>
      </c>
    </row>
    <row r="14" spans="2:16">
      <c r="B14" t="s">
        <v>334</v>
      </c>
      <c r="C14">
        <f>'Cost Analysis'!C16</f>
        <v>909.6</v>
      </c>
      <c r="D14">
        <f>'Cost Analysis'!D16</f>
        <v>1149.4000000000001</v>
      </c>
      <c r="E14">
        <f>'Cost Analysis'!E16</f>
        <v>1165.7</v>
      </c>
      <c r="F14">
        <f>'Cost Analysis'!F16</f>
        <v>1257.8</v>
      </c>
      <c r="G14">
        <f>'Cost Analysis'!G16</f>
        <v>1525.5065611385164</v>
      </c>
      <c r="H14">
        <f>'Cost Analysis'!H16</f>
        <v>1725.4244123885137</v>
      </c>
      <c r="I14">
        <f>'Cost Analysis'!I16</f>
        <v>1898.0670262390595</v>
      </c>
      <c r="J14">
        <f>'Cost Analysis'!J16</f>
        <v>2039.1684024325564</v>
      </c>
      <c r="K14">
        <f>'Cost Analysis'!K16</f>
        <v>2188.4599464239727</v>
      </c>
      <c r="L14">
        <f>'Cost Analysis'!L16</f>
        <v>2301.3881436720881</v>
      </c>
      <c r="M14">
        <f>'Cost Analysis'!M16</f>
        <v>2382.8303933883558</v>
      </c>
      <c r="N14">
        <f>'Cost Analysis'!N16</f>
        <v>2448.3244092406708</v>
      </c>
      <c r="O14">
        <f>'Cost Analysis'!O16</f>
        <v>2500.8454590607639</v>
      </c>
      <c r="P14">
        <f>'Cost Analysis'!P16</f>
        <v>2539.2494932142281</v>
      </c>
    </row>
    <row r="15" spans="2:16">
      <c r="B15" t="s">
        <v>335</v>
      </c>
      <c r="C15" s="8">
        <f>C14/C3</f>
        <v>4.2959562469891466E-2</v>
      </c>
      <c r="D15" s="8">
        <f t="shared" ref="D15:P15" si="8">D14/D3</f>
        <v>4.1707640111036524E-2</v>
      </c>
      <c r="E15" s="8">
        <f t="shared" si="8"/>
        <v>4.1244882867646278E-2</v>
      </c>
      <c r="F15" s="8">
        <f t="shared" si="8"/>
        <v>3.8503335139420766E-2</v>
      </c>
      <c r="G15" s="8">
        <f t="shared" si="8"/>
        <v>3.7503335139420765E-2</v>
      </c>
      <c r="H15" s="8">
        <f t="shared" si="8"/>
        <v>3.6503335139420764E-2</v>
      </c>
      <c r="I15" s="8">
        <f t="shared" si="8"/>
        <v>3.5503335139420764E-2</v>
      </c>
      <c r="J15" s="8">
        <f t="shared" si="8"/>
        <v>3.4503335139420763E-2</v>
      </c>
      <c r="K15" s="8">
        <f t="shared" si="8"/>
        <v>3.3503335139420762E-2</v>
      </c>
      <c r="L15" s="8">
        <f t="shared" si="8"/>
        <v>3.2503335139420761E-2</v>
      </c>
      <c r="M15" s="8">
        <f t="shared" si="8"/>
        <v>3.150333513942076E-2</v>
      </c>
      <c r="N15" s="8">
        <f t="shared" si="8"/>
        <v>3.0503335139420756E-2</v>
      </c>
      <c r="O15" s="8">
        <f t="shared" si="8"/>
        <v>2.9503335139420758E-2</v>
      </c>
      <c r="P15" s="8">
        <f t="shared" si="8"/>
        <v>2.8503335139420757E-2</v>
      </c>
    </row>
    <row r="17" spans="1:17">
      <c r="C17">
        <v>2022</v>
      </c>
      <c r="D17">
        <v>2023</v>
      </c>
      <c r="E17">
        <v>2024</v>
      </c>
      <c r="F17">
        <v>2025</v>
      </c>
      <c r="G17" t="s">
        <v>105</v>
      </c>
      <c r="H17" t="s">
        <v>106</v>
      </c>
      <c r="I17" t="s">
        <v>107</v>
      </c>
      <c r="J17" t="s">
        <v>108</v>
      </c>
      <c r="K17" t="s">
        <v>109</v>
      </c>
      <c r="L17" s="64" t="s">
        <v>374</v>
      </c>
      <c r="M17" s="64" t="s">
        <v>375</v>
      </c>
      <c r="N17" s="64" t="s">
        <v>376</v>
      </c>
      <c r="O17" s="64" t="s">
        <v>377</v>
      </c>
      <c r="P17" s="64" t="s">
        <v>378</v>
      </c>
    </row>
    <row r="18" spans="1:17">
      <c r="B18" t="s">
        <v>336</v>
      </c>
      <c r="C18" s="3">
        <f>'Cost Analysis'!C20</f>
        <v>2282.1</v>
      </c>
      <c r="D18" s="3">
        <f>'Cost Analysis'!D20</f>
        <v>3113.1</v>
      </c>
      <c r="E18" s="3">
        <f>'Cost Analysis'!E20</f>
        <v>3181</v>
      </c>
      <c r="F18" s="3">
        <f>'Cost Analysis'!F20</f>
        <v>3619.6</v>
      </c>
      <c r="G18" s="3">
        <f>'Cost Analysis'!G20</f>
        <v>4516.0853139030942</v>
      </c>
      <c r="H18" s="3">
        <f>'Cost Analysis'!H20</f>
        <v>5247.8491335368262</v>
      </c>
      <c r="I18" s="3">
        <f>'Cost Analysis'!I20</f>
        <v>5935.5414361776702</v>
      </c>
      <c r="J18" s="3">
        <f>'Cost Analysis'!J20</f>
        <v>6561.6032195633516</v>
      </c>
      <c r="K18" s="3">
        <f>'Cost Analysis'!K20</f>
        <v>7252.1789089678541</v>
      </c>
      <c r="L18" s="3">
        <f>'Cost Analysis'!L20</f>
        <v>7861.0379731563189</v>
      </c>
      <c r="M18" s="3">
        <f>'Cost Analysis'!M20</f>
        <v>8397.5876649752809</v>
      </c>
      <c r="N18" s="3">
        <f>'Cost Analysis'!N20</f>
        <v>8911.2696366968376</v>
      </c>
      <c r="O18" s="3">
        <f>'Cost Analysis'!O20</f>
        <v>9410.9548784832969</v>
      </c>
      <c r="P18" s="3">
        <f>'Cost Analysis'!P20</f>
        <v>9890.7139974752608</v>
      </c>
    </row>
    <row r="19" spans="1:17">
      <c r="B19" t="s">
        <v>337</v>
      </c>
      <c r="C19" s="8">
        <f>C18/C3</f>
        <v>0.10778146164527189</v>
      </c>
      <c r="D19" s="8">
        <f t="shared" ref="D19:J19" si="9">D18/D3</f>
        <v>0.11296333254712702</v>
      </c>
      <c r="E19" s="8">
        <f t="shared" si="9"/>
        <v>0.11255037522688754</v>
      </c>
      <c r="F19" s="8">
        <f t="shared" si="9"/>
        <v>0.11080193343190285</v>
      </c>
      <c r="G19">
        <f t="shared" si="9"/>
        <v>0.11102427571279734</v>
      </c>
      <c r="H19">
        <f>H18/H3</f>
        <v>0.11102427571279731</v>
      </c>
      <c r="I19">
        <f t="shared" si="9"/>
        <v>0.11102427571279733</v>
      </c>
      <c r="J19">
        <f t="shared" si="9"/>
        <v>0.11102427571279733</v>
      </c>
      <c r="K19">
        <f>K18/K3</f>
        <v>0.11102427571279733</v>
      </c>
      <c r="L19">
        <f t="shared" ref="L19:P19" si="10">L18/L3</f>
        <v>0.11102427571279733</v>
      </c>
      <c r="M19">
        <f t="shared" si="10"/>
        <v>0.11102427571279731</v>
      </c>
      <c r="N19">
        <f t="shared" si="10"/>
        <v>0.11102427571279734</v>
      </c>
      <c r="O19">
        <f t="shared" si="10"/>
        <v>0.11102427571279733</v>
      </c>
      <c r="P19">
        <f t="shared" si="10"/>
        <v>0.11102427571279734</v>
      </c>
    </row>
    <row r="21" spans="1:17">
      <c r="A21" s="1"/>
      <c r="B21" s="2"/>
      <c r="C21">
        <v>2022</v>
      </c>
      <c r="D21">
        <v>2023</v>
      </c>
      <c r="E21">
        <v>2024</v>
      </c>
      <c r="F21">
        <v>2025</v>
      </c>
      <c r="G21" t="s">
        <v>105</v>
      </c>
      <c r="H21" t="s">
        <v>106</v>
      </c>
      <c r="I21" t="s">
        <v>107</v>
      </c>
      <c r="J21" t="s">
        <v>108</v>
      </c>
      <c r="K21" t="s">
        <v>109</v>
      </c>
      <c r="L21" s="64" t="s">
        <v>374</v>
      </c>
      <c r="M21" s="64" t="s">
        <v>375</v>
      </c>
      <c r="N21" s="64" t="s">
        <v>376</v>
      </c>
      <c r="O21" s="64" t="s">
        <v>377</v>
      </c>
      <c r="P21" s="64" t="s">
        <v>378</v>
      </c>
    </row>
    <row r="22" spans="1:17">
      <c r="B22" s="9" t="s">
        <v>338</v>
      </c>
      <c r="C22" s="10">
        <f>C18+C14</f>
        <v>3191.7</v>
      </c>
      <c r="D22" s="10">
        <f t="shared" ref="D22:P22" si="11">D18+D14</f>
        <v>4262.5</v>
      </c>
      <c r="E22" s="10">
        <f t="shared" si="11"/>
        <v>4346.7</v>
      </c>
      <c r="F22" s="10">
        <f t="shared" si="11"/>
        <v>4877.3999999999996</v>
      </c>
      <c r="G22" s="10">
        <f t="shared" si="11"/>
        <v>6041.5918750416104</v>
      </c>
      <c r="H22" s="10">
        <f t="shared" si="11"/>
        <v>6973.2735459253399</v>
      </c>
      <c r="I22" s="10">
        <f t="shared" si="11"/>
        <v>7833.6084624167297</v>
      </c>
      <c r="J22" s="10">
        <f t="shared" si="11"/>
        <v>8600.7716219959075</v>
      </c>
      <c r="K22" s="10">
        <f t="shared" si="11"/>
        <v>9440.6388553918259</v>
      </c>
      <c r="L22" s="10">
        <f t="shared" si="11"/>
        <v>10162.426116828407</v>
      </c>
      <c r="M22" s="10">
        <f t="shared" si="11"/>
        <v>10780.418058363637</v>
      </c>
      <c r="N22" s="10">
        <f t="shared" si="11"/>
        <v>11359.594045937509</v>
      </c>
      <c r="O22" s="10">
        <f t="shared" si="11"/>
        <v>11911.80033754406</v>
      </c>
      <c r="P22" s="10">
        <f t="shared" si="11"/>
        <v>12429.96349068949</v>
      </c>
    </row>
    <row r="23" spans="1:17">
      <c r="B23" t="s">
        <v>339</v>
      </c>
      <c r="C23" s="8">
        <f>C22/C3</f>
        <v>0.15074102411516335</v>
      </c>
      <c r="D23" s="8">
        <f t="shared" ref="D23:P23" si="12">D22/D3</f>
        <v>0.15467097265816354</v>
      </c>
      <c r="E23" s="8">
        <f t="shared" si="12"/>
        <v>0.15379525809453382</v>
      </c>
      <c r="F23" s="8">
        <f t="shared" si="12"/>
        <v>0.14930526857132362</v>
      </c>
      <c r="G23" s="8">
        <f t="shared" si="12"/>
        <v>0.14852761085221811</v>
      </c>
      <c r="H23" s="8">
        <f t="shared" si="12"/>
        <v>0.14752761085221808</v>
      </c>
      <c r="I23" s="8">
        <f t="shared" si="12"/>
        <v>0.1465276108522181</v>
      </c>
      <c r="J23" s="8">
        <f t="shared" si="12"/>
        <v>0.14552761085221808</v>
      </c>
      <c r="K23" s="8">
        <f t="shared" si="12"/>
        <v>0.14452761085221807</v>
      </c>
      <c r="L23" s="8">
        <f t="shared" si="12"/>
        <v>0.14352761085221807</v>
      </c>
      <c r="M23" s="8">
        <f t="shared" si="12"/>
        <v>0.14252761085221807</v>
      </c>
      <c r="N23" s="8">
        <f t="shared" si="12"/>
        <v>0.1415276108522181</v>
      </c>
      <c r="O23" s="8">
        <f t="shared" si="12"/>
        <v>0.14052761085221807</v>
      </c>
      <c r="P23" s="8">
        <f t="shared" si="12"/>
        <v>0.1395276108522181</v>
      </c>
    </row>
    <row r="26" spans="1:17">
      <c r="C26">
        <v>2022</v>
      </c>
      <c r="D26">
        <v>2023</v>
      </c>
      <c r="E26">
        <v>2024</v>
      </c>
      <c r="F26">
        <v>2025</v>
      </c>
      <c r="G26" t="s">
        <v>105</v>
      </c>
      <c r="H26" t="s">
        <v>106</v>
      </c>
      <c r="I26" t="s">
        <v>107</v>
      </c>
      <c r="J26" t="s">
        <v>108</v>
      </c>
      <c r="K26" t="s">
        <v>109</v>
      </c>
      <c r="L26" s="64" t="s">
        <v>374</v>
      </c>
      <c r="M26" s="64" t="s">
        <v>375</v>
      </c>
      <c r="N26" s="64" t="s">
        <v>376</v>
      </c>
      <c r="O26" s="64" t="s">
        <v>377</v>
      </c>
      <c r="P26" s="64" t="s">
        <v>378</v>
      </c>
    </row>
    <row r="27" spans="1:17">
      <c r="B27" t="s">
        <v>340</v>
      </c>
      <c r="C27" s="5">
        <f>C3-C22-C10</f>
        <v>7321</v>
      </c>
      <c r="D27" s="5">
        <f>D3-D22-D10</f>
        <v>9511.9</v>
      </c>
      <c r="E27" s="5">
        <f t="shared" ref="E27:Q27" si="13">E3-E22-E10</f>
        <v>9937.1</v>
      </c>
      <c r="F27" s="5">
        <f t="shared" si="13"/>
        <v>12054</v>
      </c>
      <c r="G27" s="5">
        <f t="shared" si="13"/>
        <v>15122.344203254263</v>
      </c>
      <c r="H27" s="5">
        <f t="shared" si="13"/>
        <v>17714.495779324818</v>
      </c>
      <c r="I27" s="5">
        <f t="shared" si="13"/>
        <v>20196.236040571821</v>
      </c>
      <c r="J27" s="5">
        <f t="shared" si="13"/>
        <v>22503.771787312817</v>
      </c>
      <c r="K27" s="5">
        <f t="shared" si="13"/>
        <v>25068.142399497909</v>
      </c>
      <c r="L27" s="5">
        <f t="shared" si="13"/>
        <v>27385.160565662023</v>
      </c>
      <c r="M27" s="5">
        <f t="shared" si="13"/>
        <v>29481.227899644844</v>
      </c>
      <c r="N27" s="5">
        <f t="shared" si="13"/>
        <v>31525.39246051824</v>
      </c>
      <c r="O27" s="5">
        <f t="shared" si="13"/>
        <v>33547.423114086014</v>
      </c>
      <c r="P27" s="5">
        <f t="shared" si="13"/>
        <v>35524.888391815184</v>
      </c>
      <c r="Q27" s="5">
        <f t="shared" si="13"/>
        <v>0</v>
      </c>
    </row>
    <row r="28" spans="1:17">
      <c r="B28" t="s">
        <v>341</v>
      </c>
      <c r="C28" s="8">
        <f>C27/C3</f>
        <v>0.34576402467246636</v>
      </c>
      <c r="D28" s="8">
        <f t="shared" ref="D28:P28" si="14">D27/D3</f>
        <v>0.34515303808262421</v>
      </c>
      <c r="E28" s="8">
        <f t="shared" si="14"/>
        <v>0.35159520077557505</v>
      </c>
      <c r="F28" s="8">
        <f t="shared" si="14"/>
        <v>0.36899284605706623</v>
      </c>
      <c r="G28" s="8">
        <f t="shared" si="14"/>
        <v>0.37177050377617171</v>
      </c>
      <c r="H28" s="8">
        <f t="shared" si="14"/>
        <v>0.37477050377617177</v>
      </c>
      <c r="I28" s="8">
        <f t="shared" si="14"/>
        <v>0.37777050377617172</v>
      </c>
      <c r="J28" s="8">
        <f t="shared" si="14"/>
        <v>0.38077050377617178</v>
      </c>
      <c r="K28" s="8">
        <f t="shared" si="14"/>
        <v>0.38377050377617167</v>
      </c>
      <c r="L28" s="8">
        <f t="shared" si="14"/>
        <v>0.38677050377617173</v>
      </c>
      <c r="M28" s="8">
        <f t="shared" si="14"/>
        <v>0.38977050377617184</v>
      </c>
      <c r="N28" s="8">
        <f t="shared" si="14"/>
        <v>0.39277050377617173</v>
      </c>
      <c r="O28" s="8">
        <f t="shared" si="14"/>
        <v>0.39577050377617173</v>
      </c>
      <c r="P28" s="8">
        <f t="shared" si="14"/>
        <v>0.39877050377617168</v>
      </c>
    </row>
    <row r="30" spans="1:17">
      <c r="B30" t="s">
        <v>364</v>
      </c>
      <c r="C30" s="63">
        <f>'Statement of Profit or Loss'!B40</f>
        <v>0.30206768870375095</v>
      </c>
      <c r="D30" s="63">
        <f>'Statement of Profit or Loss'!C40</f>
        <v>0.29447176007402437</v>
      </c>
      <c r="E30" s="63">
        <f>'Statement of Profit or Loss'!D40</f>
        <v>0.29540493013809621</v>
      </c>
      <c r="F30" s="63">
        <f>'Statement of Profit or Loss'!E40</f>
        <v>0.31263679581722398</v>
      </c>
      <c r="G30" s="63">
        <f>'Statement of Profit or Loss'!F40</f>
        <v>0</v>
      </c>
      <c r="H30" s="63">
        <f>'Statement of Profit or Loss'!G40</f>
        <v>0</v>
      </c>
      <c r="I30" s="63">
        <f>'Statement of Profit or Loss'!H40</f>
        <v>0</v>
      </c>
      <c r="J30" s="63">
        <f>'Statement of Profit or Loss'!I40</f>
        <v>0</v>
      </c>
      <c r="K30" s="63">
        <f>'Statement of Profit or Loss'!J40</f>
        <v>0</v>
      </c>
      <c r="L30" s="63">
        <f>'Statement of Profit or Loss'!K40</f>
        <v>0</v>
      </c>
      <c r="M30" s="63">
        <f>'Statement of Profit or Loss'!L40</f>
        <v>0</v>
      </c>
      <c r="N30" s="63">
        <f>'Statement of Profit or Loss'!M40</f>
        <v>0</v>
      </c>
      <c r="O30" s="63">
        <f>'Statement of Profit or Loss'!N40</f>
        <v>0</v>
      </c>
      <c r="P30" s="63">
        <f>'Statement of Profit or Loss'!O40</f>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05727-CECA-604B-B3B7-E94E55D160A2}">
  <sheetPr>
    <tabColor rgb="FF92D050"/>
  </sheetPr>
  <dimension ref="A1:P112"/>
  <sheetViews>
    <sheetView showRuler="0" zoomScale="94" workbookViewId="0">
      <selection activeCell="F22" sqref="F22"/>
    </sheetView>
  </sheetViews>
  <sheetFormatPr baseColWidth="10" defaultColWidth="13" defaultRowHeight="13"/>
  <cols>
    <col min="1" max="1" width="57" style="11" customWidth="1"/>
    <col min="2" max="27" width="20.1640625" style="11" customWidth="1"/>
    <col min="28" max="16384" width="13" style="11"/>
  </cols>
  <sheetData>
    <row r="1" spans="1:10" ht="22.5" customHeight="1">
      <c r="A1" s="33" t="s">
        <v>11</v>
      </c>
    </row>
    <row r="2" spans="1:10" ht="32.5" customHeight="1">
      <c r="A2" s="540" t="s">
        <v>12</v>
      </c>
      <c r="B2" s="541"/>
      <c r="C2" s="541"/>
      <c r="D2" s="541"/>
    </row>
    <row r="3" spans="1:10" ht="16.75" customHeight="1">
      <c r="A3" s="541"/>
      <c r="B3" s="541"/>
      <c r="C3" s="541"/>
      <c r="D3" s="541"/>
    </row>
    <row r="4" spans="1:10" ht="14.25" customHeight="1">
      <c r="A4" s="540" t="s">
        <v>13</v>
      </c>
      <c r="B4" s="541"/>
      <c r="C4" s="541"/>
      <c r="D4" s="541"/>
    </row>
    <row r="5" spans="1:10" ht="16.75" customHeight="1"/>
    <row r="6" spans="1:10" ht="16.75" customHeight="1">
      <c r="A6" s="542" t="s">
        <v>141</v>
      </c>
      <c r="B6" s="541"/>
      <c r="C6" s="541"/>
    </row>
    <row r="7" spans="1:10" ht="16.75" customHeight="1">
      <c r="A7" s="26"/>
      <c r="B7" s="26"/>
      <c r="C7" s="26"/>
    </row>
    <row r="8" spans="1:10" ht="16.75" customHeight="1">
      <c r="A8" s="25" t="s">
        <v>142</v>
      </c>
      <c r="B8" s="44">
        <v>2022</v>
      </c>
      <c r="C8" s="30">
        <v>2023</v>
      </c>
      <c r="D8" s="30" t="s">
        <v>18</v>
      </c>
      <c r="E8" s="30" t="s">
        <v>19</v>
      </c>
      <c r="F8"/>
      <c r="G8"/>
      <c r="H8"/>
      <c r="I8"/>
      <c r="J8"/>
    </row>
    <row r="9" spans="1:10" ht="16.75" customHeight="1">
      <c r="A9" s="32"/>
      <c r="B9" s="55"/>
      <c r="C9" s="26"/>
      <c r="D9" s="26"/>
      <c r="E9" s="26"/>
    </row>
    <row r="10" spans="1:10" ht="16.75" customHeight="1">
      <c r="A10" s="28" t="s">
        <v>59</v>
      </c>
      <c r="B10" s="56"/>
    </row>
    <row r="11" spans="1:10" ht="16.75" customHeight="1">
      <c r="A11" s="14" t="s">
        <v>72</v>
      </c>
      <c r="B11" s="40" t="s">
        <v>143</v>
      </c>
      <c r="C11" s="40">
        <v>60.6</v>
      </c>
      <c r="D11" s="13">
        <v>317.2</v>
      </c>
      <c r="E11" s="12">
        <v>13.3</v>
      </c>
    </row>
    <row r="12" spans="1:10" ht="16.75" customHeight="1">
      <c r="A12" s="14" t="s">
        <v>144</v>
      </c>
      <c r="B12" s="40">
        <v>2188.9</v>
      </c>
      <c r="C12" s="40">
        <v>2104.8000000000002</v>
      </c>
      <c r="D12" s="13">
        <v>2168.6</v>
      </c>
      <c r="E12" s="12">
        <v>1811.6</v>
      </c>
    </row>
    <row r="13" spans="1:10" ht="16.75" customHeight="1">
      <c r="A13" s="14" t="s">
        <v>145</v>
      </c>
      <c r="B13" s="40">
        <v>364.4</v>
      </c>
      <c r="C13" s="40">
        <v>929.2</v>
      </c>
      <c r="D13" s="13">
        <v>1456.7</v>
      </c>
      <c r="E13" s="12">
        <v>1653.8</v>
      </c>
    </row>
    <row r="14" spans="1:10" ht="16.75" customHeight="1">
      <c r="A14" s="14" t="s">
        <v>74</v>
      </c>
      <c r="B14" s="40">
        <v>739.8</v>
      </c>
      <c r="C14" s="40">
        <v>640.70000000000005</v>
      </c>
      <c r="D14" s="13">
        <v>790.8</v>
      </c>
      <c r="E14" s="12">
        <v>1057.0999999999999</v>
      </c>
    </row>
    <row r="15" spans="1:10" ht="16.75" customHeight="1">
      <c r="A15" s="14" t="s">
        <v>146</v>
      </c>
      <c r="B15" s="40" t="s">
        <v>143</v>
      </c>
      <c r="C15" s="40">
        <v>11.3</v>
      </c>
      <c r="D15" s="13">
        <v>0</v>
      </c>
      <c r="E15" s="12">
        <v>0</v>
      </c>
    </row>
    <row r="16" spans="1:10" ht="16.75" customHeight="1">
      <c r="A16" s="14" t="s">
        <v>147</v>
      </c>
      <c r="B16" s="57"/>
      <c r="C16" s="13">
        <v>0</v>
      </c>
      <c r="D16" s="13">
        <v>0</v>
      </c>
      <c r="E16" s="12">
        <v>1736.7</v>
      </c>
    </row>
    <row r="17" spans="1:5" ht="16.75" customHeight="1">
      <c r="A17" s="14" t="s">
        <v>69</v>
      </c>
      <c r="B17" s="40">
        <v>923.6</v>
      </c>
      <c r="C17" s="40">
        <v>919.6</v>
      </c>
      <c r="D17" s="13">
        <v>903</v>
      </c>
      <c r="E17" s="12">
        <v>822.6</v>
      </c>
    </row>
    <row r="18" spans="1:5" ht="16.75" customHeight="1">
      <c r="A18" s="14" t="s">
        <v>148</v>
      </c>
      <c r="B18" s="40">
        <v>4577.1000000000004</v>
      </c>
      <c r="C18" s="40">
        <v>4610.1000000000004</v>
      </c>
      <c r="D18" s="13">
        <v>4610.1000000000004</v>
      </c>
      <c r="E18" s="12">
        <v>4610.1000000000004</v>
      </c>
    </row>
    <row r="19" spans="1:5" ht="16.75" customHeight="1">
      <c r="A19" s="14" t="s">
        <v>149</v>
      </c>
      <c r="B19" s="40">
        <v>3345.7</v>
      </c>
      <c r="C19" s="40">
        <v>3933.2</v>
      </c>
      <c r="D19" s="13">
        <v>4728.8999999999996</v>
      </c>
      <c r="E19" s="12">
        <v>5396.3</v>
      </c>
    </row>
    <row r="20" spans="1:5" ht="16.75" customHeight="1">
      <c r="A20" s="14" t="s">
        <v>150</v>
      </c>
      <c r="B20" s="40">
        <v>3944.2</v>
      </c>
      <c r="C20" s="40">
        <v>5493.2</v>
      </c>
      <c r="D20" s="13">
        <v>6846.8</v>
      </c>
      <c r="E20" s="12">
        <v>7893.8</v>
      </c>
    </row>
    <row r="21" spans="1:5" ht="16.75" customHeight="1">
      <c r="A21" s="22" t="s">
        <v>151</v>
      </c>
      <c r="B21" s="41">
        <v>192.7</v>
      </c>
      <c r="C21" s="41">
        <v>306.60000000000002</v>
      </c>
      <c r="D21" s="21">
        <v>387.2</v>
      </c>
      <c r="E21" s="20">
        <v>341</v>
      </c>
    </row>
    <row r="22" spans="1:5" ht="16.75" customHeight="1">
      <c r="A22" s="19" t="s">
        <v>152</v>
      </c>
      <c r="B22" s="40">
        <v>16276.4</v>
      </c>
      <c r="C22" s="42">
        <v>19009.3</v>
      </c>
      <c r="D22" s="18">
        <v>22209.3</v>
      </c>
      <c r="E22" s="17">
        <v>25336.3</v>
      </c>
    </row>
    <row r="23" spans="1:5" ht="16.75" customHeight="1">
      <c r="B23" s="57"/>
      <c r="C23" s="31"/>
      <c r="D23" s="31"/>
      <c r="E23" s="31"/>
    </row>
    <row r="24" spans="1:5" ht="16.75" customHeight="1">
      <c r="A24" s="14" t="s">
        <v>153</v>
      </c>
      <c r="B24" s="40">
        <v>7268.3</v>
      </c>
      <c r="C24" s="40">
        <v>7004.7</v>
      </c>
      <c r="D24" s="13">
        <v>12735.9</v>
      </c>
      <c r="E24" s="12">
        <v>12916</v>
      </c>
    </row>
    <row r="25" spans="1:5" ht="16.75" customHeight="1">
      <c r="A25" s="14" t="s">
        <v>154</v>
      </c>
      <c r="B25" s="40">
        <v>107.7</v>
      </c>
      <c r="C25" s="40">
        <v>5.4</v>
      </c>
      <c r="D25" s="13">
        <v>5.4</v>
      </c>
      <c r="E25" s="12">
        <v>405.9</v>
      </c>
    </row>
    <row r="26" spans="1:5" ht="16.75" customHeight="1">
      <c r="A26" s="14" t="s">
        <v>71</v>
      </c>
      <c r="B26" s="40">
        <v>5323.8</v>
      </c>
      <c r="C26" s="40">
        <v>4334.1000000000004</v>
      </c>
      <c r="D26" s="13">
        <v>4477.5</v>
      </c>
      <c r="E26" s="12">
        <v>3023</v>
      </c>
    </row>
    <row r="27" spans="1:5" ht="16.75" customHeight="1">
      <c r="A27" s="14" t="s">
        <v>72</v>
      </c>
      <c r="B27" s="40">
        <v>1356.7</v>
      </c>
      <c r="C27" s="40">
        <v>1379.2</v>
      </c>
      <c r="D27" s="13">
        <v>82.6</v>
      </c>
      <c r="E27" s="12">
        <v>613.5</v>
      </c>
    </row>
    <row r="28" spans="1:5" ht="16.75" customHeight="1">
      <c r="A28" s="14" t="s">
        <v>155</v>
      </c>
      <c r="B28" s="40">
        <v>33.4</v>
      </c>
      <c r="C28" s="40">
        <v>1001.2</v>
      </c>
      <c r="D28" s="13">
        <v>283.60000000000002</v>
      </c>
      <c r="E28" s="12">
        <v>88.9</v>
      </c>
    </row>
    <row r="29" spans="1:5" ht="16.75" customHeight="1">
      <c r="A29" s="14" t="s">
        <v>156</v>
      </c>
      <c r="B29" s="40">
        <v>131.9</v>
      </c>
      <c r="C29" s="40">
        <v>240.1</v>
      </c>
      <c r="D29" s="13">
        <v>320.60000000000002</v>
      </c>
      <c r="E29" s="12">
        <v>440.6</v>
      </c>
    </row>
    <row r="30" spans="1:5" ht="16.75" customHeight="1">
      <c r="A30" s="14" t="s">
        <v>157</v>
      </c>
      <c r="B30" s="40">
        <v>7199.7</v>
      </c>
      <c r="C30" s="40">
        <v>8850.7000000000007</v>
      </c>
      <c r="D30" s="13">
        <v>10891.5</v>
      </c>
      <c r="E30" s="12">
        <v>11429.3</v>
      </c>
    </row>
    <row r="31" spans="1:5" ht="16.75" customHeight="1">
      <c r="A31" s="14" t="s">
        <v>145</v>
      </c>
      <c r="B31" s="57"/>
      <c r="C31" s="13">
        <v>0</v>
      </c>
      <c r="D31" s="13">
        <v>0</v>
      </c>
      <c r="E31" s="12">
        <v>266.10000000000002</v>
      </c>
    </row>
    <row r="32" spans="1:5" ht="16.75" customHeight="1">
      <c r="A32" s="14" t="s">
        <v>74</v>
      </c>
      <c r="B32" s="40">
        <v>1110.8</v>
      </c>
      <c r="C32" s="40">
        <v>1234.0999999999999</v>
      </c>
      <c r="D32" s="13">
        <v>1463.6</v>
      </c>
      <c r="E32" s="12">
        <v>1023.6</v>
      </c>
    </row>
    <row r="33" spans="1:10" ht="16.75" customHeight="1">
      <c r="A33" s="22" t="s">
        <v>146</v>
      </c>
      <c r="B33" s="41">
        <v>17.3</v>
      </c>
      <c r="C33" s="41">
        <v>19.8</v>
      </c>
      <c r="D33" s="21">
        <v>96.5</v>
      </c>
      <c r="E33" s="20">
        <v>33.6</v>
      </c>
    </row>
    <row r="34" spans="1:10" ht="16.75" customHeight="1">
      <c r="A34" s="19" t="s">
        <v>158</v>
      </c>
      <c r="B34" s="40">
        <v>22549.599999999999</v>
      </c>
      <c r="C34" s="42">
        <v>24069.3</v>
      </c>
      <c r="D34" s="18">
        <v>30357.200000000001</v>
      </c>
      <c r="E34" s="17">
        <v>30240.5</v>
      </c>
    </row>
    <row r="35" spans="1:10" ht="16.75" customHeight="1">
      <c r="A35" s="28" t="s">
        <v>159</v>
      </c>
      <c r="B35" s="74">
        <f>B34/'ASML Revenue Model'!C7</f>
        <v>1.0649966467359988</v>
      </c>
      <c r="C35" s="74">
        <f>C34/'ASML Revenue Model'!D7</f>
        <v>0.87338933541375618</v>
      </c>
      <c r="D35" s="74">
        <f>D34/'ASML Revenue Model'!E7</f>
        <v>1.0741006761514211</v>
      </c>
      <c r="E35" s="74">
        <f>E34/'ASML Revenue Model'!F7</f>
        <v>0.92571164436607867</v>
      </c>
      <c r="F35" s="77"/>
      <c r="G35" s="77"/>
      <c r="H35" s="77"/>
      <c r="I35" s="77"/>
      <c r="J35" s="77"/>
    </row>
    <row r="36" spans="1:10" ht="16.75" customHeight="1">
      <c r="A36" s="28"/>
      <c r="B36" s="40"/>
      <c r="C36" s="40"/>
      <c r="D36" s="13"/>
      <c r="E36" s="12"/>
    </row>
    <row r="37" spans="1:10" ht="16.75" customHeight="1">
      <c r="A37" s="28"/>
      <c r="B37" s="40"/>
      <c r="C37" s="40"/>
      <c r="D37" s="13"/>
      <c r="E37" s="12"/>
    </row>
    <row r="38" spans="1:10" ht="16.75" customHeight="1">
      <c r="B38" s="57"/>
      <c r="C38" s="31"/>
      <c r="D38" s="31"/>
      <c r="E38" s="31"/>
    </row>
    <row r="39" spans="1:10" ht="16.75" customHeight="1">
      <c r="A39" s="28" t="s">
        <v>160</v>
      </c>
      <c r="B39" s="40">
        <v>38826</v>
      </c>
      <c r="C39" s="40">
        <v>43078.6</v>
      </c>
      <c r="D39" s="13">
        <v>52566.5</v>
      </c>
      <c r="E39" s="12">
        <v>55576.800000000003</v>
      </c>
    </row>
    <row r="40" spans="1:10" ht="16.75" customHeight="1">
      <c r="B40" s="57"/>
    </row>
    <row r="41" spans="1:10" ht="16.75" customHeight="1">
      <c r="A41" s="28" t="s">
        <v>161</v>
      </c>
      <c r="B41" s="57"/>
    </row>
    <row r="42" spans="1:10" ht="16.75" customHeight="1">
      <c r="B42" s="57"/>
    </row>
    <row r="43" spans="1:10" ht="16.75" customHeight="1">
      <c r="A43" s="28" t="s">
        <v>162</v>
      </c>
      <c r="B43" s="40">
        <v>11286</v>
      </c>
      <c r="C43" s="40">
        <v>16209.5</v>
      </c>
      <c r="D43" s="13">
        <v>22021.9</v>
      </c>
      <c r="E43" s="12">
        <v>24185</v>
      </c>
    </row>
    <row r="44" spans="1:10" ht="16.75" customHeight="1">
      <c r="B44" s="57"/>
      <c r="C44" s="31"/>
      <c r="D44" s="31"/>
      <c r="E44" s="31"/>
    </row>
    <row r="45" spans="1:10" ht="16.75" customHeight="1">
      <c r="A45" s="14" t="s">
        <v>163</v>
      </c>
      <c r="B45" s="40">
        <v>3514.2</v>
      </c>
      <c r="C45" s="40">
        <v>4631.5</v>
      </c>
      <c r="D45" s="13">
        <v>3677.3</v>
      </c>
      <c r="E45" s="12">
        <v>2709</v>
      </c>
    </row>
    <row r="46" spans="1:10" ht="16.75" customHeight="1">
      <c r="A46" s="14" t="s">
        <v>164</v>
      </c>
      <c r="B46" s="40">
        <v>538.4</v>
      </c>
      <c r="C46" s="40">
        <v>737.3</v>
      </c>
      <c r="D46" s="13">
        <v>732.9</v>
      </c>
      <c r="E46" s="12">
        <v>444.9</v>
      </c>
    </row>
    <row r="47" spans="1:10" ht="16.75" customHeight="1">
      <c r="A47" s="14" t="s">
        <v>165</v>
      </c>
      <c r="B47" s="40">
        <v>5269.9</v>
      </c>
      <c r="C47" s="40">
        <v>4825.5</v>
      </c>
      <c r="D47" s="13">
        <v>5625.4</v>
      </c>
      <c r="E47" s="12">
        <v>3366.3</v>
      </c>
    </row>
    <row r="48" spans="1:10" ht="16.75" customHeight="1">
      <c r="A48" s="14" t="s">
        <v>75</v>
      </c>
      <c r="B48" s="40">
        <v>275.89999999999998</v>
      </c>
      <c r="C48" s="40">
        <v>338.4</v>
      </c>
      <c r="D48" s="13">
        <v>430.2</v>
      </c>
      <c r="E48" s="12">
        <v>412.3</v>
      </c>
    </row>
    <row r="49" spans="1:10" ht="16.75" customHeight="1">
      <c r="A49" s="22" t="s">
        <v>146</v>
      </c>
      <c r="B49" s="41">
        <v>179</v>
      </c>
      <c r="C49" s="41">
        <v>62.7</v>
      </c>
      <c r="D49" s="21">
        <v>29.3</v>
      </c>
      <c r="E49" s="20">
        <v>19.899999999999999</v>
      </c>
    </row>
    <row r="50" spans="1:10" ht="16.75" customHeight="1">
      <c r="A50" s="19" t="s">
        <v>166</v>
      </c>
      <c r="B50" s="40">
        <v>9777.4</v>
      </c>
      <c r="C50" s="42">
        <v>10595.4</v>
      </c>
      <c r="D50" s="18">
        <v>10495.1</v>
      </c>
      <c r="E50" s="17">
        <v>6952.4</v>
      </c>
    </row>
    <row r="51" spans="1:10" ht="16.75" customHeight="1">
      <c r="A51" s="28"/>
      <c r="B51" s="40"/>
      <c r="C51" s="40"/>
      <c r="D51" s="13"/>
      <c r="E51" s="12"/>
    </row>
    <row r="52" spans="1:10" ht="16.75" customHeight="1">
      <c r="A52" s="28"/>
      <c r="B52" s="40"/>
      <c r="C52" s="40"/>
      <c r="D52" s="13"/>
      <c r="E52" s="12"/>
    </row>
    <row r="53" spans="1:10" ht="16.75" customHeight="1">
      <c r="A53" s="28"/>
      <c r="B53" s="40"/>
      <c r="C53" s="40"/>
      <c r="D53" s="13"/>
      <c r="E53" s="12"/>
    </row>
    <row r="54" spans="1:10" ht="16.75" customHeight="1">
      <c r="B54" s="56"/>
      <c r="C54"/>
      <c r="D54" s="31"/>
      <c r="E54" s="31"/>
    </row>
    <row r="55" spans="1:10" ht="16.75" customHeight="1">
      <c r="A55" s="14" t="s">
        <v>76</v>
      </c>
      <c r="B55" s="40">
        <v>2563.5</v>
      </c>
      <c r="C55" s="40">
        <v>2346.3000000000002</v>
      </c>
      <c r="D55" s="13">
        <v>3498.5</v>
      </c>
      <c r="E55" s="12">
        <v>3521.8</v>
      </c>
      <c r="F55" s="73"/>
      <c r="G55" s="73"/>
      <c r="H55" s="73"/>
    </row>
    <row r="56" spans="1:10" ht="16.75" customHeight="1">
      <c r="A56" s="14" t="s">
        <v>75</v>
      </c>
      <c r="B56" s="40">
        <v>1574.3</v>
      </c>
      <c r="C56" s="40">
        <v>2083.4</v>
      </c>
      <c r="D56" s="13">
        <v>2602.3000000000002</v>
      </c>
      <c r="E56" s="12">
        <v>2494.1999999999998</v>
      </c>
      <c r="F56" s="73"/>
      <c r="G56" s="73"/>
      <c r="H56" s="73"/>
    </row>
    <row r="57" spans="1:10" ht="16.75" customHeight="1">
      <c r="A57" s="14" t="s">
        <v>146</v>
      </c>
      <c r="B57" s="40">
        <v>82.3</v>
      </c>
      <c r="C57" s="40">
        <v>94</v>
      </c>
      <c r="D57" s="13">
        <v>84.3</v>
      </c>
      <c r="E57" s="12">
        <v>73.099999999999994</v>
      </c>
      <c r="F57" s="73"/>
      <c r="G57" s="73"/>
      <c r="H57" s="73"/>
    </row>
    <row r="58" spans="1:10" ht="16.75" customHeight="1">
      <c r="A58" s="14" t="s">
        <v>167</v>
      </c>
      <c r="B58" s="40">
        <v>315.3</v>
      </c>
      <c r="C58" s="40">
        <v>308.89999999999998</v>
      </c>
      <c r="D58" s="13">
        <v>283.3</v>
      </c>
      <c r="E58" s="12">
        <v>662.1</v>
      </c>
      <c r="F58" s="73"/>
      <c r="G58" s="73"/>
      <c r="H58" s="73"/>
    </row>
    <row r="59" spans="1:10" ht="16.75" customHeight="1">
      <c r="A59" s="14" t="s">
        <v>168</v>
      </c>
      <c r="B59" s="40">
        <v>746.2</v>
      </c>
      <c r="C59" s="40">
        <v>0.1</v>
      </c>
      <c r="D59" s="13">
        <v>1010.3</v>
      </c>
      <c r="E59" s="12">
        <v>1681.9</v>
      </c>
      <c r="F59" s="73"/>
      <c r="G59" s="73"/>
      <c r="H59" s="73"/>
    </row>
    <row r="60" spans="1:10" ht="16.75" customHeight="1">
      <c r="A60" s="22" t="s">
        <v>165</v>
      </c>
      <c r="B60" s="41">
        <v>12481</v>
      </c>
      <c r="C60" s="41">
        <v>11441</v>
      </c>
      <c r="D60" s="21">
        <v>12570.8</v>
      </c>
      <c r="E60" s="20">
        <v>16006.3</v>
      </c>
      <c r="F60" s="73"/>
      <c r="G60" s="73"/>
      <c r="H60" s="73"/>
    </row>
    <row r="61" spans="1:10" ht="16.75" customHeight="1">
      <c r="A61" s="19" t="s">
        <v>169</v>
      </c>
      <c r="B61" s="40">
        <v>17762.599999999999</v>
      </c>
      <c r="C61" s="42">
        <v>16273.7</v>
      </c>
      <c r="D61" s="18">
        <v>20049.5</v>
      </c>
      <c r="E61" s="17">
        <v>24439.4</v>
      </c>
      <c r="F61" s="73"/>
      <c r="G61" s="73"/>
      <c r="H61" s="73"/>
      <c r="I61" s="73"/>
      <c r="J61" s="73"/>
    </row>
    <row r="62" spans="1:10" ht="16.75" customHeight="1">
      <c r="A62" s="28" t="s">
        <v>170</v>
      </c>
      <c r="B62" s="75">
        <f>B61/'ASML Revenue Model'!C7</f>
        <v>0.83891108655199431</v>
      </c>
      <c r="C62" s="75">
        <f>C61/'ASML Revenue Model'!D7</f>
        <v>0.59051472322513932</v>
      </c>
      <c r="D62" s="75">
        <f>D61/'ASML Revenue Model'!E7</f>
        <v>0.70939287900392378</v>
      </c>
      <c r="E62" s="75">
        <f>E61/'ASML Revenue Model'!F7</f>
        <v>0.74813039339033227</v>
      </c>
      <c r="F62" s="76"/>
      <c r="G62" s="76"/>
      <c r="H62" s="76"/>
      <c r="I62" s="76"/>
      <c r="J62" s="76"/>
    </row>
    <row r="63" spans="1:10" ht="16.75" customHeight="1">
      <c r="A63" s="28"/>
      <c r="B63" s="40"/>
      <c r="C63" s="40"/>
      <c r="D63" s="13"/>
      <c r="E63" s="12"/>
      <c r="F63" s="73"/>
      <c r="G63" s="73"/>
      <c r="H63" s="73"/>
    </row>
    <row r="64" spans="1:10" ht="16.75" customHeight="1">
      <c r="A64" s="28"/>
      <c r="B64" s="40"/>
      <c r="C64" s="40"/>
      <c r="D64" s="13"/>
      <c r="E64" s="12"/>
      <c r="F64" s="73"/>
      <c r="G64" s="73"/>
      <c r="H64" s="73"/>
    </row>
    <row r="65" spans="1:16" ht="16.75" customHeight="1">
      <c r="B65" s="90"/>
      <c r="C65"/>
    </row>
    <row r="66" spans="1:16" ht="16.75" customHeight="1">
      <c r="A66" s="28" t="s">
        <v>171</v>
      </c>
      <c r="B66" s="40">
        <v>38826</v>
      </c>
      <c r="C66" s="40">
        <v>43078.6</v>
      </c>
      <c r="D66" s="13">
        <v>52566.5</v>
      </c>
      <c r="E66" s="12">
        <v>55576.800000000003</v>
      </c>
    </row>
    <row r="67" spans="1:16" ht="16.75" customHeight="1"/>
    <row r="68" spans="1:16" ht="16.75" customHeight="1"/>
    <row r="69" spans="1:16" ht="16.75" customHeight="1">
      <c r="A69" s="543" t="s">
        <v>386</v>
      </c>
      <c r="B69" s="544"/>
      <c r="C69" s="544"/>
      <c r="D69" s="544"/>
      <c r="E69" s="544"/>
      <c r="F69" s="544"/>
      <c r="G69" s="544"/>
      <c r="H69" s="544"/>
      <c r="I69" s="544"/>
      <c r="J69" s="544"/>
      <c r="K69" s="544"/>
      <c r="L69" s="544"/>
      <c r="M69" s="544"/>
      <c r="N69" s="544"/>
      <c r="O69" s="544"/>
    </row>
    <row r="70" spans="1:16" s="118" customFormat="1" ht="32" customHeight="1">
      <c r="A70" s="544"/>
      <c r="B70" s="544"/>
      <c r="C70" s="544"/>
      <c r="D70" s="544"/>
      <c r="E70" s="544"/>
      <c r="F70" s="544"/>
      <c r="G70" s="544"/>
      <c r="H70" s="544"/>
      <c r="I70" s="544"/>
      <c r="J70" s="544"/>
      <c r="K70" s="544"/>
      <c r="L70" s="544"/>
      <c r="M70" s="544"/>
      <c r="N70" s="544"/>
      <c r="O70" s="544"/>
    </row>
    <row r="71" spans="1:16" ht="16.75" customHeight="1"/>
    <row r="72" spans="1:16" ht="16.75" customHeight="1">
      <c r="B72" s="44">
        <v>2022</v>
      </c>
      <c r="C72" s="30">
        <v>2023</v>
      </c>
      <c r="D72" s="30" t="s">
        <v>18</v>
      </c>
      <c r="E72" s="30" t="s">
        <v>19</v>
      </c>
      <c r="F72" t="s">
        <v>105</v>
      </c>
      <c r="G72" t="s">
        <v>106</v>
      </c>
      <c r="H72" t="s">
        <v>107</v>
      </c>
      <c r="I72" t="s">
        <v>108</v>
      </c>
      <c r="J72" t="s">
        <v>109</v>
      </c>
      <c r="K72" s="64" t="s">
        <v>374</v>
      </c>
      <c r="L72" s="64" t="s">
        <v>375</v>
      </c>
      <c r="M72" s="64" t="s">
        <v>376</v>
      </c>
      <c r="N72" s="64" t="s">
        <v>377</v>
      </c>
      <c r="O72" s="64" t="s">
        <v>378</v>
      </c>
      <c r="P72" s="81"/>
    </row>
    <row r="73" spans="1:16" ht="16.75" customHeight="1">
      <c r="A73" s="19" t="s">
        <v>158</v>
      </c>
      <c r="B73" s="40">
        <v>22549.599999999999</v>
      </c>
      <c r="C73" s="42">
        <v>24069.3</v>
      </c>
      <c r="D73" s="18">
        <v>30357.200000000001</v>
      </c>
      <c r="E73" s="17">
        <v>30240.5</v>
      </c>
      <c r="F73" s="78">
        <f>F74*'ASML Revenue Model'!G7</f>
        <v>40048.087239770313</v>
      </c>
      <c r="G73" s="78">
        <f>G74*'ASML Revenue Model'!H7</f>
        <v>46537.278486308431</v>
      </c>
      <c r="H73" s="78">
        <f>H74*'ASML Revenue Model'!I7</f>
        <v>52635.648958959333</v>
      </c>
      <c r="I73" s="78">
        <f>I74*'ASML Revenue Model'!J7</f>
        <v>58187.487592593701</v>
      </c>
      <c r="J73" s="78">
        <f>J74*'ASML Revenue Model'!K7</f>
        <v>64311.42758322991</v>
      </c>
      <c r="K73" s="78">
        <f>K74*'ASML Revenue Model'!L7</f>
        <v>69710.714625987443</v>
      </c>
      <c r="L73" s="78">
        <f>L74*'ASML Revenue Model'!M7</f>
        <v>74468.771078173144</v>
      </c>
      <c r="M73" s="78">
        <f>M74*'ASML Revenue Model'!N7</f>
        <v>79024.039410609141</v>
      </c>
      <c r="N73" s="78">
        <f>N74*'ASML Revenue Model'!O7</f>
        <v>83455.186469298045</v>
      </c>
      <c r="O73" s="78">
        <f>O74*'ASML Revenue Model'!P7</f>
        <v>87709.63113010097</v>
      </c>
      <c r="P73" s="78"/>
    </row>
    <row r="74" spans="1:16" ht="16.75" customHeight="1">
      <c r="A74" s="28" t="s">
        <v>159</v>
      </c>
      <c r="B74" s="74">
        <f>B73/'ASML Revenue Model'!C7</f>
        <v>1.0649966467359988</v>
      </c>
      <c r="C74" s="74">
        <f>C73/'ASML Revenue Model'!D7</f>
        <v>0.87338933541375618</v>
      </c>
      <c r="D74" s="74">
        <f>D73/'ASML Revenue Model'!E7</f>
        <v>1.0741006761514211</v>
      </c>
      <c r="E74" s="74">
        <f>E73/'ASML Revenue Model'!F7</f>
        <v>0.92571164436607867</v>
      </c>
      <c r="F74" s="77">
        <f>AVERAGE(B74:E74)</f>
        <v>0.98454957566681367</v>
      </c>
      <c r="G74" s="77">
        <f>F74</f>
        <v>0.98454957566681367</v>
      </c>
      <c r="H74" s="77">
        <f t="shared" ref="H74:J74" si="0">G74</f>
        <v>0.98454957566681367</v>
      </c>
      <c r="I74" s="77">
        <f t="shared" si="0"/>
        <v>0.98454957566681367</v>
      </c>
      <c r="J74" s="77">
        <f t="shared" si="0"/>
        <v>0.98454957566681367</v>
      </c>
      <c r="K74" s="77">
        <f t="shared" ref="K74" si="1">J74</f>
        <v>0.98454957566681367</v>
      </c>
      <c r="L74" s="77">
        <f t="shared" ref="L74" si="2">K74</f>
        <v>0.98454957566681367</v>
      </c>
      <c r="M74" s="77">
        <f t="shared" ref="M74" si="3">L74</f>
        <v>0.98454957566681367</v>
      </c>
      <c r="N74" s="77">
        <f t="shared" ref="N74" si="4">M74</f>
        <v>0.98454957566681367</v>
      </c>
      <c r="O74" s="77">
        <f t="shared" ref="O74" si="5">N74</f>
        <v>0.98454957566681367</v>
      </c>
      <c r="P74" s="77"/>
    </row>
    <row r="75" spans="1:16" ht="16.75" customHeight="1"/>
    <row r="76" spans="1:16" ht="16.75" customHeight="1">
      <c r="B76" s="44">
        <v>2022</v>
      </c>
      <c r="C76" s="30">
        <v>2023</v>
      </c>
      <c r="D76" s="30" t="s">
        <v>18</v>
      </c>
      <c r="E76" s="30" t="s">
        <v>19</v>
      </c>
      <c r="F76" t="s">
        <v>105</v>
      </c>
      <c r="G76" t="s">
        <v>106</v>
      </c>
      <c r="H76" t="s">
        <v>107</v>
      </c>
      <c r="I76" t="s">
        <v>108</v>
      </c>
      <c r="J76" t="s">
        <v>109</v>
      </c>
    </row>
    <row r="77" spans="1:16" ht="16.75" customHeight="1">
      <c r="A77" s="19" t="s">
        <v>169</v>
      </c>
      <c r="B77" s="40">
        <v>17762.599999999999</v>
      </c>
      <c r="C77" s="42">
        <v>16273.7</v>
      </c>
      <c r="D77" s="18">
        <v>20049.5</v>
      </c>
      <c r="E77" s="17">
        <v>24439.4</v>
      </c>
      <c r="F77" s="73">
        <f>'ASML Revenue Model'!G7*F78</f>
        <v>29357.787448455794</v>
      </c>
      <c r="G77" s="73">
        <f>'ASML Revenue Model'!H7*G78</f>
        <v>34114.776120290757</v>
      </c>
      <c r="H77" s="73">
        <f>'ASML Revenue Model'!I7*H78</f>
        <v>38585.268382408867</v>
      </c>
      <c r="I77" s="73">
        <f>'ASML Revenue Model'!J7*I78</f>
        <v>42655.118150227579</v>
      </c>
      <c r="J77" s="73">
        <f>'ASML Revenue Model'!K7*J78</f>
        <v>47144.354490425569</v>
      </c>
      <c r="K77" s="73">
        <f>'ASML Revenue Model'!L7*K78</f>
        <v>51102.374268635234</v>
      </c>
      <c r="L77" s="73">
        <f>'ASML Revenue Model'!M7*L78</f>
        <v>54590.331362683522</v>
      </c>
      <c r="M77" s="73">
        <f>'ASML Revenue Model'!N7*M78</f>
        <v>57929.631905894807</v>
      </c>
      <c r="N77" s="73">
        <f>'ASML Revenue Model'!O7*N78</f>
        <v>61177.943684756807</v>
      </c>
      <c r="O77" s="73">
        <f>'ASML Revenue Model'!P7*O78</f>
        <v>64296.721401037721</v>
      </c>
      <c r="P77" s="73"/>
    </row>
    <row r="78" spans="1:16" ht="16.75" customHeight="1">
      <c r="A78" s="28" t="s">
        <v>170</v>
      </c>
      <c r="B78" s="75">
        <f>B77/'ASML Revenue Model'!C7</f>
        <v>0.83891108655199431</v>
      </c>
      <c r="C78" s="75">
        <f>C77/'ASML Revenue Model'!D7</f>
        <v>0.59051472322513932</v>
      </c>
      <c r="D78" s="75">
        <f>D77/'ASML Revenue Model'!E7</f>
        <v>0.70939287900392378</v>
      </c>
      <c r="E78" s="75">
        <f>E77/'ASML Revenue Model'!F7</f>
        <v>0.74813039339033227</v>
      </c>
      <c r="F78" s="76">
        <f>AVERAGE(B78:E78)</f>
        <v>0.72173727054284731</v>
      </c>
      <c r="G78" s="76">
        <f>F78</f>
        <v>0.72173727054284731</v>
      </c>
      <c r="H78" s="76">
        <f>G78</f>
        <v>0.72173727054284731</v>
      </c>
      <c r="I78" s="76">
        <f t="shared" ref="I78:J78" si="6">H78</f>
        <v>0.72173727054284731</v>
      </c>
      <c r="J78" s="76">
        <f t="shared" si="6"/>
        <v>0.72173727054284731</v>
      </c>
      <c r="K78" s="76">
        <f t="shared" ref="K78" si="7">J78</f>
        <v>0.72173727054284731</v>
      </c>
      <c r="L78" s="76">
        <f t="shared" ref="L78" si="8">K78</f>
        <v>0.72173727054284731</v>
      </c>
      <c r="M78" s="76">
        <f t="shared" ref="M78" si="9">L78</f>
        <v>0.72173727054284731</v>
      </c>
      <c r="N78" s="76">
        <f t="shared" ref="N78" si="10">M78</f>
        <v>0.72173727054284731</v>
      </c>
      <c r="O78" s="76">
        <f t="shared" ref="O78" si="11">N78</f>
        <v>0.72173727054284731</v>
      </c>
      <c r="P78" s="76"/>
    </row>
    <row r="79" spans="1:16" ht="16.75" customHeight="1"/>
    <row r="80" spans="1:16" ht="16.75" customHeight="1"/>
    <row r="81" spans="1:16" ht="16.75" customHeight="1">
      <c r="B81" s="44">
        <v>2022</v>
      </c>
      <c r="C81" s="30">
        <v>2023</v>
      </c>
      <c r="D81" s="30" t="s">
        <v>18</v>
      </c>
      <c r="E81" s="30" t="s">
        <v>19</v>
      </c>
      <c r="F81" t="s">
        <v>105</v>
      </c>
      <c r="G81" t="s">
        <v>106</v>
      </c>
      <c r="H81" t="s">
        <v>107</v>
      </c>
      <c r="I81" t="s">
        <v>108</v>
      </c>
      <c r="J81" t="s">
        <v>109</v>
      </c>
      <c r="K81" s="64" t="s">
        <v>374</v>
      </c>
      <c r="L81" s="64" t="s">
        <v>375</v>
      </c>
      <c r="M81" s="64" t="s">
        <v>376</v>
      </c>
      <c r="N81" s="64" t="s">
        <v>377</v>
      </c>
      <c r="O81" s="64" t="s">
        <v>378</v>
      </c>
      <c r="P81" s="81"/>
    </row>
    <row r="82" spans="1:16" ht="16.75" customHeight="1">
      <c r="A82" s="58" t="s">
        <v>172</v>
      </c>
      <c r="B82" s="59">
        <f>B34-B61</f>
        <v>4787</v>
      </c>
      <c r="C82" s="59">
        <f>C34-C61</f>
        <v>7795.5999999999985</v>
      </c>
      <c r="D82" s="59">
        <f>D34-D61</f>
        <v>10307.700000000001</v>
      </c>
      <c r="E82" s="59">
        <f>E73-E77</f>
        <v>5801.0999999999985</v>
      </c>
      <c r="F82" s="59">
        <f>F73-F77</f>
        <v>10690.299791314519</v>
      </c>
      <c r="G82" s="59">
        <f t="shared" ref="G82:O82" si="12">G73-G77</f>
        <v>12422.502366017674</v>
      </c>
      <c r="H82" s="59">
        <f t="shared" si="12"/>
        <v>14050.380576550466</v>
      </c>
      <c r="I82" s="59">
        <f t="shared" si="12"/>
        <v>15532.369442366122</v>
      </c>
      <c r="J82" s="59">
        <f>J73-J77</f>
        <v>17167.073092804341</v>
      </c>
      <c r="K82" s="59">
        <f t="shared" si="12"/>
        <v>18608.340357352208</v>
      </c>
      <c r="L82" s="59">
        <f t="shared" si="12"/>
        <v>19878.439715489621</v>
      </c>
      <c r="M82" s="59">
        <f t="shared" si="12"/>
        <v>21094.407504714334</v>
      </c>
      <c r="N82" s="59">
        <f t="shared" si="12"/>
        <v>22277.242784541239</v>
      </c>
      <c r="O82" s="59">
        <f t="shared" si="12"/>
        <v>23412.909729063249</v>
      </c>
      <c r="P82" s="59"/>
    </row>
    <row r="83" spans="1:16" ht="16.75" customHeight="1">
      <c r="A83" s="11" t="s">
        <v>173</v>
      </c>
      <c r="C83" s="60">
        <f>C82/B82-1</f>
        <v>0.62849383747649856</v>
      </c>
      <c r="D83" s="60">
        <f>D82/C82-1</f>
        <v>0.32224588229257556</v>
      </c>
      <c r="E83" s="80">
        <f>E82/D82-1</f>
        <v>-0.43720713641258491</v>
      </c>
      <c r="F83" s="80">
        <f t="shared" ref="F83:I83" si="13">F82/E82-1</f>
        <v>0.84280563881238413</v>
      </c>
      <c r="G83" s="80">
        <f t="shared" si="13"/>
        <v>0.16203498578314024</v>
      </c>
      <c r="H83" s="80">
        <f t="shared" si="13"/>
        <v>0.1310426967585796</v>
      </c>
      <c r="I83" s="80">
        <f t="shared" si="13"/>
        <v>0.10547677749662077</v>
      </c>
      <c r="J83" s="80">
        <f>J82/I82-1</f>
        <v>0.10524496320435173</v>
      </c>
      <c r="K83" s="80">
        <f t="shared" ref="K83:O83" si="14">K82/J82-1</f>
        <v>8.3955328713080535E-2</v>
      </c>
      <c r="L83" s="80">
        <f t="shared" si="14"/>
        <v>6.825430606634364E-2</v>
      </c>
      <c r="M83" s="80">
        <f t="shared" si="14"/>
        <v>6.1170182701875131E-2</v>
      </c>
      <c r="N83" s="80">
        <f t="shared" si="14"/>
        <v>5.6073406165238593E-2</v>
      </c>
      <c r="O83" s="80">
        <f t="shared" si="14"/>
        <v>5.0978792820361107E-2</v>
      </c>
      <c r="P83" s="80"/>
    </row>
    <row r="84" spans="1:16" ht="16.75" customHeight="1">
      <c r="A84" s="11" t="s">
        <v>174</v>
      </c>
      <c r="C84" s="59">
        <f>C82-B82</f>
        <v>3008.5999999999985</v>
      </c>
      <c r="D84" s="59">
        <f t="shared" ref="D84:E84" si="15">D82-C82</f>
        <v>2512.1000000000022</v>
      </c>
      <c r="E84" s="59">
        <f t="shared" si="15"/>
        <v>-4506.6000000000022</v>
      </c>
      <c r="F84" s="59">
        <f>F82-E82</f>
        <v>4889.1997913145206</v>
      </c>
      <c r="G84" s="59">
        <f t="shared" ref="G84" si="16">G82-F82</f>
        <v>1732.2025747031548</v>
      </c>
      <c r="H84" s="59">
        <f t="shared" ref="H84" si="17">H82-G82</f>
        <v>1627.8782105327919</v>
      </c>
      <c r="I84" s="59">
        <f t="shared" ref="I84" si="18">I82-H82</f>
        <v>1481.988865815656</v>
      </c>
      <c r="J84" s="59">
        <f t="shared" ref="J84" si="19">J82-I82</f>
        <v>1634.7036504382195</v>
      </c>
      <c r="K84" s="59">
        <f t="shared" ref="K84" si="20">K82-J82</f>
        <v>1441.2672645478669</v>
      </c>
      <c r="L84" s="59">
        <f t="shared" ref="L84" si="21">L82-K82</f>
        <v>1270.0993581374132</v>
      </c>
      <c r="M84" s="59">
        <f t="shared" ref="M84" si="22">M82-L82</f>
        <v>1215.9677892247128</v>
      </c>
      <c r="N84" s="59">
        <f t="shared" ref="N84" si="23">N82-M82</f>
        <v>1182.8352798269043</v>
      </c>
      <c r="O84" s="59">
        <f t="shared" ref="O84" si="24">O82-N82</f>
        <v>1135.6669445220105</v>
      </c>
      <c r="P84" s="59"/>
    </row>
    <row r="85" spans="1:16" ht="16.75" customHeight="1"/>
    <row r="86" spans="1:16" ht="16.75" customHeight="1"/>
    <row r="87" spans="1:16" ht="16.75" customHeight="1"/>
    <row r="88" spans="1:16" ht="16.75" customHeight="1"/>
    <row r="89" spans="1:16" ht="16.75" customHeight="1">
      <c r="B89" s="44">
        <v>2022</v>
      </c>
      <c r="C89" s="30">
        <v>2023</v>
      </c>
      <c r="D89" s="30" t="s">
        <v>18</v>
      </c>
      <c r="E89" s="30" t="s">
        <v>19</v>
      </c>
      <c r="F89" t="s">
        <v>105</v>
      </c>
      <c r="G89" t="s">
        <v>106</v>
      </c>
      <c r="H89" t="s">
        <v>107</v>
      </c>
      <c r="I89" t="s">
        <v>108</v>
      </c>
      <c r="J89" t="s">
        <v>109</v>
      </c>
      <c r="K89" s="64" t="s">
        <v>374</v>
      </c>
      <c r="L89" s="64" t="s">
        <v>375</v>
      </c>
      <c r="M89" s="64" t="s">
        <v>376</v>
      </c>
      <c r="N89" s="64" t="s">
        <v>377</v>
      </c>
      <c r="O89" s="64" t="s">
        <v>378</v>
      </c>
      <c r="P89" s="81"/>
    </row>
    <row r="90" spans="1:16" ht="16.75" customHeight="1">
      <c r="A90" s="14" t="s">
        <v>150</v>
      </c>
      <c r="B90" s="40">
        <v>3944.2</v>
      </c>
      <c r="C90" s="40">
        <v>5493.2</v>
      </c>
      <c r="D90" s="13">
        <v>6846.8</v>
      </c>
      <c r="E90" s="12">
        <v>7893.8</v>
      </c>
      <c r="F90" s="11">
        <f>'ASML Revenue Model'!G7*F91</f>
        <v>8842.1259706986639</v>
      </c>
      <c r="G90" s="11">
        <f>'ASML Revenue Model'!H7*G91</f>
        <v>10274.859726653551</v>
      </c>
      <c r="H90" s="11">
        <f>'ASML Revenue Model'!I7*H91</f>
        <v>11621.305054050357</v>
      </c>
      <c r="I90" s="11">
        <f>'ASML Revenue Model'!J7*I91</f>
        <v>12847.082861456776</v>
      </c>
      <c r="J90" s="11">
        <f>'ASML Revenue Model'!K7*J91</f>
        <v>14199.173624494055</v>
      </c>
      <c r="K90" s="11">
        <f>'ASML Revenue Model'!L7*K91</f>
        <v>15391.269913592554</v>
      </c>
      <c r="L90" s="11">
        <f>'ASML Revenue Model'!M7*L91</f>
        <v>16441.79036102461</v>
      </c>
      <c r="M90" s="11">
        <f>'ASML Revenue Model'!N7*M91</f>
        <v>17447.537681354424</v>
      </c>
      <c r="N90" s="11">
        <f>'ASML Revenue Model'!O7*N91</f>
        <v>18425.880548344314</v>
      </c>
      <c r="O90" s="11">
        <f>'ASML Revenue Model'!P7*O91</f>
        <v>19365.209695351077</v>
      </c>
    </row>
    <row r="91" spans="1:16" ht="16.75" customHeight="1">
      <c r="A91" s="11" t="s">
        <v>175</v>
      </c>
      <c r="B91" s="80">
        <f>B90/'ASML Revenue Model'!C7</f>
        <v>0.18628089961933367</v>
      </c>
      <c r="C91" s="80">
        <f>C90/'ASML Revenue Model'!D7</f>
        <v>0.19932870076382966</v>
      </c>
      <c r="D91" s="80">
        <f>D90/'ASML Revenue Model'!E7</f>
        <v>0.24225397959869652</v>
      </c>
      <c r="E91" s="80">
        <f>E90/'ASML Revenue Model'!F7</f>
        <v>0.24164225387466978</v>
      </c>
      <c r="F91" s="76">
        <f>AVERAGE(B91:E91)</f>
        <v>0.21737645846413239</v>
      </c>
      <c r="G91" s="76">
        <f>F91</f>
        <v>0.21737645846413239</v>
      </c>
      <c r="H91" s="76">
        <f t="shared" ref="H91:J91" si="25">G91</f>
        <v>0.21737645846413239</v>
      </c>
      <c r="I91" s="76">
        <f t="shared" si="25"/>
        <v>0.21737645846413239</v>
      </c>
      <c r="J91" s="76">
        <f t="shared" si="25"/>
        <v>0.21737645846413239</v>
      </c>
      <c r="K91" s="76">
        <f t="shared" ref="K91" si="26">J91</f>
        <v>0.21737645846413239</v>
      </c>
      <c r="L91" s="76">
        <f t="shared" ref="L91" si="27">K91</f>
        <v>0.21737645846413239</v>
      </c>
      <c r="M91" s="76">
        <f t="shared" ref="M91" si="28">L91</f>
        <v>0.21737645846413239</v>
      </c>
      <c r="N91" s="76">
        <f t="shared" ref="N91" si="29">M91</f>
        <v>0.21737645846413239</v>
      </c>
      <c r="O91" s="76">
        <f t="shared" ref="O91" si="30">N91</f>
        <v>0.21737645846413239</v>
      </c>
      <c r="P91" s="76"/>
    </row>
    <row r="92" spans="1:16" ht="16.75" customHeight="1"/>
    <row r="93" spans="1:16" ht="16.75" customHeight="1"/>
    <row r="94" spans="1:16" ht="16.75" customHeight="1">
      <c r="B94" s="44">
        <v>2022</v>
      </c>
      <c r="C94" s="30">
        <v>2023</v>
      </c>
      <c r="D94" s="30" t="s">
        <v>18</v>
      </c>
      <c r="E94" s="30" t="s">
        <v>19</v>
      </c>
      <c r="F94" t="s">
        <v>105</v>
      </c>
      <c r="G94" t="s">
        <v>106</v>
      </c>
      <c r="H94" t="s">
        <v>107</v>
      </c>
      <c r="I94" t="s">
        <v>108</v>
      </c>
      <c r="J94" t="s">
        <v>109</v>
      </c>
      <c r="K94" s="64" t="s">
        <v>374</v>
      </c>
      <c r="L94" s="64" t="s">
        <v>375</v>
      </c>
      <c r="M94" s="64" t="s">
        <v>376</v>
      </c>
      <c r="N94" s="64" t="s">
        <v>377</v>
      </c>
      <c r="O94" s="64" t="s">
        <v>378</v>
      </c>
      <c r="P94" s="81"/>
    </row>
    <row r="95" spans="1:16" ht="16.75" customHeight="1">
      <c r="A95" s="19" t="s">
        <v>166</v>
      </c>
      <c r="B95" s="40">
        <v>9777.4</v>
      </c>
      <c r="C95" s="42">
        <v>10595.4</v>
      </c>
      <c r="D95" s="18">
        <v>10495.1</v>
      </c>
      <c r="E95" s="17">
        <v>6952.4</v>
      </c>
      <c r="F95" s="11">
        <f>F96*'ASML Revenue Model'!G7</f>
        <v>14546.036121467794</v>
      </c>
      <c r="G95" s="11">
        <f>G96*'ASML Revenue Model'!H7</f>
        <v>16903.002877610863</v>
      </c>
      <c r="H95" s="11">
        <f>H96*'ASML Revenue Model'!I7</f>
        <v>19118.017958011027</v>
      </c>
      <c r="I95" s="11">
        <f>I96*'ASML Revenue Model'!J7</f>
        <v>21134.524884344544</v>
      </c>
      <c r="J95" s="11">
        <f>J96*'ASML Revenue Model'!K7</f>
        <v>23358.82717813885</v>
      </c>
      <c r="K95" s="11">
        <f>K96*'ASML Revenue Model'!L7</f>
        <v>25319.925192231531</v>
      </c>
      <c r="L95" s="11">
        <f>L96*'ASML Revenue Model'!M7</f>
        <v>27048.119115879032</v>
      </c>
      <c r="M95" s="11">
        <f>M96*'ASML Revenue Model'!N7</f>
        <v>28702.657503939448</v>
      </c>
      <c r="N95" s="11">
        <f>N96*'ASML Revenue Model'!O7</f>
        <v>30312.113276179578</v>
      </c>
      <c r="O95" s="11">
        <f>O96*'ASML Revenue Model'!P7</f>
        <v>31857.388218833243</v>
      </c>
    </row>
    <row r="96" spans="1:16" ht="16.75" customHeight="1">
      <c r="A96" s="19" t="s">
        <v>176</v>
      </c>
      <c r="B96" s="80">
        <f>B95/'ASML Revenue Model'!C7</f>
        <v>0.46177751329498329</v>
      </c>
      <c r="C96" s="80">
        <f>C95/'ASML Revenue Model'!D7</f>
        <v>0.38446940145508646</v>
      </c>
      <c r="D96" s="80">
        <f>D95/'ASML Revenue Model'!E7</f>
        <v>0.37133839768742766</v>
      </c>
      <c r="E96" s="80">
        <f>E95/'ASML Revenue Model'!F7</f>
        <v>0.21282444524034738</v>
      </c>
      <c r="F96" s="76">
        <f>AVERAGE(B96:E96)</f>
        <v>0.35760243941946118</v>
      </c>
      <c r="G96" s="76">
        <f>F96</f>
        <v>0.35760243941946118</v>
      </c>
      <c r="H96" s="76">
        <f t="shared" ref="H96:J96" si="31">G96</f>
        <v>0.35760243941946118</v>
      </c>
      <c r="I96" s="76">
        <f t="shared" si="31"/>
        <v>0.35760243941946118</v>
      </c>
      <c r="J96" s="76">
        <f t="shared" si="31"/>
        <v>0.35760243941946118</v>
      </c>
      <c r="K96" s="76">
        <f t="shared" ref="K96" si="32">J96</f>
        <v>0.35760243941946118</v>
      </c>
      <c r="L96" s="76">
        <f t="shared" ref="L96" si="33">K96</f>
        <v>0.35760243941946118</v>
      </c>
      <c r="M96" s="76">
        <f t="shared" ref="M96" si="34">L96</f>
        <v>0.35760243941946118</v>
      </c>
      <c r="N96" s="76">
        <f t="shared" ref="N96" si="35">M96</f>
        <v>0.35760243941946118</v>
      </c>
      <c r="O96" s="76">
        <f t="shared" ref="O96" si="36">N96</f>
        <v>0.35760243941946118</v>
      </c>
      <c r="P96" s="76"/>
    </row>
    <row r="97" spans="1:16" ht="16.75" customHeight="1"/>
    <row r="98" spans="1:16" ht="16.75" customHeight="1"/>
    <row r="99" spans="1:16" ht="16.75" customHeight="1"/>
    <row r="100" spans="1:16" ht="16.75" customHeight="1">
      <c r="B100" s="44">
        <v>2022</v>
      </c>
      <c r="C100" s="30">
        <v>2023</v>
      </c>
      <c r="D100" s="30" t="s">
        <v>18</v>
      </c>
      <c r="E100" s="30" t="s">
        <v>19</v>
      </c>
      <c r="F100" t="s">
        <v>105</v>
      </c>
      <c r="G100" t="s">
        <v>106</v>
      </c>
      <c r="H100" t="s">
        <v>107</v>
      </c>
      <c r="I100" t="s">
        <v>108</v>
      </c>
      <c r="J100" t="s">
        <v>109</v>
      </c>
      <c r="K100" s="64" t="s">
        <v>374</v>
      </c>
      <c r="L100" s="64" t="s">
        <v>375</v>
      </c>
      <c r="M100" s="64" t="s">
        <v>376</v>
      </c>
      <c r="N100" s="64" t="s">
        <v>377</v>
      </c>
      <c r="O100" s="64" t="s">
        <v>378</v>
      </c>
      <c r="P100" s="81"/>
    </row>
    <row r="101" spans="1:16" ht="16.75" customHeight="1">
      <c r="A101" s="19" t="s">
        <v>152</v>
      </c>
      <c r="B101" s="40">
        <v>16276.4</v>
      </c>
      <c r="C101" s="42">
        <v>19009.3</v>
      </c>
      <c r="D101" s="18">
        <v>22209.3</v>
      </c>
      <c r="E101" s="17">
        <v>25336.3</v>
      </c>
      <c r="F101" s="11">
        <f>F102*'ASML Revenue Model'!G7</f>
        <v>30709.745510541914</v>
      </c>
      <c r="G101" s="11">
        <f>G102*'ASML Revenue Model'!H7</f>
        <v>35685.798687746406</v>
      </c>
      <c r="H101" s="11">
        <f>H102*'ASML Revenue Model'!I7</f>
        <v>40362.161983772487</v>
      </c>
      <c r="I101" s="11">
        <f>I102*'ASML Revenue Model'!J7</f>
        <v>44619.432762617405</v>
      </c>
      <c r="J101" s="11">
        <f>J102*'ASML Revenue Model'!K7</f>
        <v>49315.403321918129</v>
      </c>
      <c r="K101" s="11">
        <f>K102*'ASML Revenue Model'!L7</f>
        <v>53455.694218427903</v>
      </c>
      <c r="L101" s="11">
        <f>L102*'ASML Revenue Model'!M7</f>
        <v>57104.275532601365</v>
      </c>
      <c r="M101" s="11">
        <f>M102*'ASML Revenue Model'!N7</f>
        <v>60597.35449998884</v>
      </c>
      <c r="N101" s="11">
        <f>N102*'ASML Revenue Model'!O7</f>
        <v>63995.254571405661</v>
      </c>
      <c r="O101" s="11">
        <f>O102*'ASML Revenue Model'!P7</f>
        <v>67257.655395687601</v>
      </c>
    </row>
    <row r="102" spans="1:16" ht="16.75" customHeight="1">
      <c r="A102" s="19" t="s">
        <v>177</v>
      </c>
      <c r="B102" s="80">
        <f>B101/'ASML Revenue Model'!C7</f>
        <v>0.76871924206787756</v>
      </c>
      <c r="C102" s="80">
        <f>C101/'ASML Revenue Model'!D7</f>
        <v>0.68977992270987165</v>
      </c>
      <c r="D102" s="80">
        <f>D101/'ASML Revenue Model'!E7</f>
        <v>0.7858110809577219</v>
      </c>
      <c r="E102" s="80">
        <f>E101/'ASML Revenue Model'!F7</f>
        <v>0.77558598353705388</v>
      </c>
      <c r="F102" s="76">
        <f>AVERAGE(B102:E102)</f>
        <v>0.75497405731813128</v>
      </c>
      <c r="G102" s="76">
        <f>F102</f>
        <v>0.75497405731813128</v>
      </c>
      <c r="H102" s="76">
        <f t="shared" ref="H102:J102" si="37">G102</f>
        <v>0.75497405731813128</v>
      </c>
      <c r="I102" s="76">
        <f t="shared" si="37"/>
        <v>0.75497405731813128</v>
      </c>
      <c r="J102" s="76">
        <f t="shared" si="37"/>
        <v>0.75497405731813128</v>
      </c>
      <c r="K102" s="76">
        <f t="shared" ref="K102" si="38">J102</f>
        <v>0.75497405731813128</v>
      </c>
      <c r="L102" s="76">
        <f t="shared" ref="L102" si="39">K102</f>
        <v>0.75497405731813128</v>
      </c>
      <c r="M102" s="76">
        <f t="shared" ref="M102" si="40">L102</f>
        <v>0.75497405731813128</v>
      </c>
      <c r="N102" s="76">
        <f t="shared" ref="N102" si="41">M102</f>
        <v>0.75497405731813128</v>
      </c>
      <c r="O102" s="76">
        <f t="shared" ref="O102" si="42">N102</f>
        <v>0.75497405731813128</v>
      </c>
      <c r="P102" s="76"/>
    </row>
    <row r="103" spans="1:16" ht="16.75" customHeight="1"/>
    <row r="104" spans="1:16" ht="16.75" customHeight="1"/>
    <row r="105" spans="1:16" ht="16.75" customHeight="1"/>
    <row r="106" spans="1:16" ht="16.75" customHeight="1"/>
    <row r="107" spans="1:16" ht="16.75" customHeight="1"/>
    <row r="108" spans="1:16" ht="16.75" customHeight="1">
      <c r="B108" s="44">
        <v>2022</v>
      </c>
      <c r="C108" s="30">
        <v>2023</v>
      </c>
      <c r="D108" s="30" t="s">
        <v>18</v>
      </c>
      <c r="E108" s="30" t="s">
        <v>19</v>
      </c>
      <c r="F108" t="s">
        <v>105</v>
      </c>
      <c r="G108" t="s">
        <v>106</v>
      </c>
      <c r="H108" t="s">
        <v>107</v>
      </c>
      <c r="I108" t="s">
        <v>108</v>
      </c>
      <c r="J108" t="s">
        <v>109</v>
      </c>
      <c r="K108" s="64" t="s">
        <v>374</v>
      </c>
      <c r="L108" s="64" t="s">
        <v>375</v>
      </c>
      <c r="M108" s="64" t="s">
        <v>376</v>
      </c>
      <c r="N108" s="64" t="s">
        <v>377</v>
      </c>
      <c r="O108" s="64" t="s">
        <v>378</v>
      </c>
      <c r="P108" s="81"/>
    </row>
    <row r="109" spans="1:16" ht="16.75" customHeight="1">
      <c r="A109" s="28" t="s">
        <v>162</v>
      </c>
      <c r="B109" s="40">
        <v>11286</v>
      </c>
      <c r="C109" s="40">
        <v>16209.5</v>
      </c>
      <c r="D109" s="13">
        <v>22021.9</v>
      </c>
      <c r="E109" s="12">
        <v>24185</v>
      </c>
      <c r="F109" s="11">
        <f>F110*'ASML Revenue Model'!G7</f>
        <v>26854.009180388635</v>
      </c>
      <c r="G109" s="11">
        <f>G110*'ASML Revenue Model'!H7</f>
        <v>31205.298176153203</v>
      </c>
      <c r="H109" s="11">
        <f>H110*'ASML Revenue Model'!I7</f>
        <v>35294.524602311918</v>
      </c>
      <c r="I109" s="11">
        <f>I110*'ASML Revenue Model'!J7</f>
        <v>39017.277320638961</v>
      </c>
      <c r="J109" s="11">
        <f>J110*'ASML Revenue Model'!K7</f>
        <v>43123.649236583602</v>
      </c>
      <c r="K109" s="11">
        <f>K110*'ASML Revenue Model'!L7</f>
        <v>46744.109383548559</v>
      </c>
      <c r="L109" s="11">
        <f>L110*'ASML Revenue Model'!M7</f>
        <v>49934.59613221194</v>
      </c>
      <c r="M109" s="11">
        <f>M110*'ASML Revenue Model'!N7</f>
        <v>52989.104500763715</v>
      </c>
      <c r="N109" s="11">
        <f>N110*'ASML Revenue Model'!O7</f>
        <v>55960.384079767311</v>
      </c>
      <c r="O109" s="11">
        <f>O110*'ASML Revenue Model'!P7</f>
        <v>58813.176905917586</v>
      </c>
    </row>
    <row r="110" spans="1:16" ht="16.75" customHeight="1">
      <c r="A110" s="28" t="s">
        <v>178</v>
      </c>
      <c r="B110" s="80">
        <f>B109/'ASML Revenue Model'!C7</f>
        <v>0.53302728895689866</v>
      </c>
      <c r="C110" s="80">
        <f>C109/'ASML Revenue Model'!D7</f>
        <v>0.58818513344340217</v>
      </c>
      <c r="D110" s="80">
        <f>D109/'ASML Revenue Model'!E7</f>
        <v>0.77918048041779153</v>
      </c>
      <c r="E110" s="80">
        <f>E109/'ASML Revenue Model'!F7</f>
        <v>0.74034278927245289</v>
      </c>
      <c r="F110" s="76">
        <f>AVERAGE(B110:E110)</f>
        <v>0.66018392302263629</v>
      </c>
      <c r="G110" s="76">
        <f>F110</f>
        <v>0.66018392302263629</v>
      </c>
      <c r="H110" s="76">
        <f t="shared" ref="H110:J110" si="43">G110</f>
        <v>0.66018392302263629</v>
      </c>
      <c r="I110" s="76">
        <f t="shared" si="43"/>
        <v>0.66018392302263629</v>
      </c>
      <c r="J110" s="76">
        <f t="shared" si="43"/>
        <v>0.66018392302263629</v>
      </c>
      <c r="K110" s="76">
        <f t="shared" ref="K110" si="44">J110</f>
        <v>0.66018392302263629</v>
      </c>
      <c r="L110" s="76">
        <f t="shared" ref="L110" si="45">K110</f>
        <v>0.66018392302263629</v>
      </c>
      <c r="M110" s="76">
        <f t="shared" ref="M110" si="46">L110</f>
        <v>0.66018392302263629</v>
      </c>
      <c r="N110" s="76">
        <f t="shared" ref="N110" si="47">M110</f>
        <v>0.66018392302263629</v>
      </c>
      <c r="O110" s="76">
        <f t="shared" ref="O110" si="48">N110</f>
        <v>0.66018392302263629</v>
      </c>
      <c r="P110" s="76"/>
    </row>
    <row r="111" spans="1:16" ht="16.75" customHeight="1"/>
    <row r="112" spans="1:16" ht="16.75" customHeight="1"/>
  </sheetData>
  <mergeCells count="5">
    <mergeCell ref="A2:D2"/>
    <mergeCell ref="A4:D4"/>
    <mergeCell ref="A3:D3"/>
    <mergeCell ref="A6:C6"/>
    <mergeCell ref="A69:O70"/>
  </mergeCells>
  <pageMargins left="0.75" right="0.75" top="1" bottom="1" header="0.5" footer="0.5"/>
  <headerFooter>
    <oddFooter>&amp;R_x000D_&amp;1#&amp;"Arial"&amp;7&amp;K000000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FF9B-6B32-4448-A4A9-6805B8ADE819}">
  <sheetPr>
    <tabColor theme="9"/>
  </sheetPr>
  <dimension ref="A1:P105"/>
  <sheetViews>
    <sheetView showRuler="0" topLeftCell="G51" zoomScale="81" workbookViewId="0">
      <selection activeCell="O82" sqref="O82"/>
    </sheetView>
  </sheetViews>
  <sheetFormatPr baseColWidth="10" defaultColWidth="13" defaultRowHeight="13"/>
  <cols>
    <col min="1" max="1" width="59.5" style="11" customWidth="1"/>
    <col min="2" max="27" width="20.1640625" style="11" customWidth="1"/>
    <col min="28" max="16384" width="13" style="11"/>
  </cols>
  <sheetData>
    <row r="1" spans="1:5" ht="22.5" customHeight="1">
      <c r="A1" s="27" t="s">
        <v>11</v>
      </c>
    </row>
    <row r="2" spans="1:5" ht="32.5" customHeight="1">
      <c r="A2" s="540" t="s">
        <v>12</v>
      </c>
      <c r="B2" s="541"/>
      <c r="C2" s="541"/>
      <c r="D2" s="541"/>
    </row>
    <row r="3" spans="1:5" ht="16.75" customHeight="1">
      <c r="A3" s="541"/>
      <c r="B3" s="541"/>
      <c r="C3" s="541"/>
      <c r="D3" s="541"/>
    </row>
    <row r="4" spans="1:5" ht="16.75" customHeight="1">
      <c r="A4" s="540" t="s">
        <v>13</v>
      </c>
      <c r="B4" s="541"/>
      <c r="C4" s="541"/>
      <c r="D4" s="541"/>
    </row>
    <row r="5" spans="1:5" ht="16.75" customHeight="1">
      <c r="A5" s="541"/>
      <c r="B5" s="541"/>
      <c r="C5" s="541"/>
      <c r="D5" s="541"/>
    </row>
    <row r="6" spans="1:5" ht="16.75" customHeight="1">
      <c r="A6" s="545" t="s">
        <v>60</v>
      </c>
      <c r="B6" s="541"/>
      <c r="C6" s="541"/>
      <c r="D6" s="541"/>
    </row>
    <row r="7" spans="1:5" ht="16.75" customHeight="1">
      <c r="A7" s="26"/>
      <c r="B7" s="26"/>
      <c r="C7" s="26"/>
      <c r="D7" s="26"/>
    </row>
    <row r="8" spans="1:5" ht="16.75" customHeight="1">
      <c r="A8" s="25" t="s">
        <v>15</v>
      </c>
      <c r="B8" s="38" t="s">
        <v>16</v>
      </c>
      <c r="C8" s="30" t="s">
        <v>17</v>
      </c>
      <c r="D8" s="30" t="s">
        <v>18</v>
      </c>
      <c r="E8" s="30" t="s">
        <v>19</v>
      </c>
    </row>
    <row r="9" spans="1:5" ht="16.75" customHeight="1">
      <c r="A9" s="32"/>
      <c r="B9" s="39"/>
      <c r="C9" s="26"/>
      <c r="D9" s="26"/>
      <c r="E9" s="26"/>
    </row>
    <row r="10" spans="1:5" ht="16.75" customHeight="1">
      <c r="A10" s="28" t="s">
        <v>61</v>
      </c>
      <c r="B10"/>
      <c r="E10" s="29"/>
    </row>
    <row r="11" spans="1:5" ht="16.75" customHeight="1">
      <c r="A11" s="14" t="s">
        <v>20</v>
      </c>
      <c r="B11" s="40">
        <v>6395.8</v>
      </c>
      <c r="C11" s="13">
        <v>8115.2</v>
      </c>
      <c r="D11" s="13">
        <v>8349</v>
      </c>
      <c r="E11" s="12">
        <v>10213</v>
      </c>
    </row>
    <row r="12" spans="1:5" ht="16.75" customHeight="1">
      <c r="A12" s="14" t="s">
        <v>62</v>
      </c>
      <c r="B12"/>
    </row>
    <row r="13" spans="1:5" ht="16.75" customHeight="1">
      <c r="A13" s="37" t="s">
        <v>63</v>
      </c>
      <c r="B13" s="40">
        <v>875.9</v>
      </c>
      <c r="C13" s="13">
        <v>1047.5</v>
      </c>
      <c r="D13" s="13">
        <v>1200.0999999999999</v>
      </c>
      <c r="E13" s="12">
        <v>1432.8</v>
      </c>
    </row>
    <row r="14" spans="1:5" ht="16.75" customHeight="1">
      <c r="A14" s="37" t="s">
        <v>64</v>
      </c>
      <c r="B14" s="40">
        <v>39.299999999999997</v>
      </c>
      <c r="C14" s="13">
        <v>37.5</v>
      </c>
      <c r="D14" s="13">
        <v>35.799999999999997</v>
      </c>
      <c r="E14" s="12">
        <v>49.7</v>
      </c>
    </row>
    <row r="15" spans="1:5" ht="16.75" customHeight="1">
      <c r="A15" s="37" t="s">
        <v>65</v>
      </c>
      <c r="B15" s="40">
        <v>66.400000000000006</v>
      </c>
      <c r="C15" s="13">
        <v>139.80000000000001</v>
      </c>
      <c r="D15" s="13">
        <v>182.1</v>
      </c>
      <c r="E15" s="12">
        <v>215.4</v>
      </c>
    </row>
    <row r="16" spans="1:5" ht="16.75" hidden="1" customHeight="1">
      <c r="A16" s="37" t="s">
        <v>66</v>
      </c>
      <c r="B16" s="40">
        <v>0</v>
      </c>
      <c r="C16" s="13">
        <v>0</v>
      </c>
      <c r="D16" s="13">
        <v>0</v>
      </c>
      <c r="E16" s="12">
        <v>0</v>
      </c>
    </row>
    <row r="17" spans="1:5" ht="16.75" customHeight="1">
      <c r="A17" s="37" t="s">
        <v>67</v>
      </c>
      <c r="B17" s="40">
        <v>278.5</v>
      </c>
      <c r="C17" s="13">
        <v>485.3</v>
      </c>
      <c r="D17" s="13">
        <v>554.70000000000005</v>
      </c>
      <c r="E17" s="12">
        <v>469.4</v>
      </c>
    </row>
    <row r="18" spans="1:5" ht="16.75" customHeight="1">
      <c r="A18" s="37" t="s">
        <v>68</v>
      </c>
      <c r="B18" s="40">
        <v>-774.7</v>
      </c>
      <c r="C18" s="13">
        <v>233.2</v>
      </c>
      <c r="D18" s="13">
        <v>-38.1</v>
      </c>
      <c r="E18" s="12">
        <v>302.10000000000002</v>
      </c>
    </row>
    <row r="19" spans="1:5" ht="16.75" customHeight="1">
      <c r="A19" s="37" t="s">
        <v>69</v>
      </c>
      <c r="B19" s="40">
        <v>15.3</v>
      </c>
      <c r="C19" s="13">
        <v>4.2</v>
      </c>
      <c r="D19" s="13">
        <v>4.4000000000000004</v>
      </c>
      <c r="E19" s="12">
        <v>94.6</v>
      </c>
    </row>
    <row r="20" spans="1:5" ht="16.75" customHeight="1">
      <c r="A20" s="37" t="s">
        <v>70</v>
      </c>
      <c r="B20"/>
    </row>
    <row r="21" spans="1:5" ht="16.75" customHeight="1">
      <c r="A21" s="36" t="s">
        <v>71</v>
      </c>
      <c r="B21" s="40">
        <v>-2338</v>
      </c>
      <c r="C21" s="13">
        <v>959.9</v>
      </c>
      <c r="D21" s="13">
        <v>-139.9</v>
      </c>
      <c r="E21" s="12">
        <v>1415.5</v>
      </c>
    </row>
    <row r="22" spans="1:5" ht="16.75" customHeight="1">
      <c r="A22" s="36" t="s">
        <v>72</v>
      </c>
      <c r="B22" s="40">
        <v>212.2</v>
      </c>
      <c r="C22" s="13">
        <v>-88.6</v>
      </c>
      <c r="D22" s="13">
        <v>1038.7</v>
      </c>
      <c r="E22" s="12">
        <v>-227.2</v>
      </c>
    </row>
    <row r="23" spans="1:5" ht="16.75" customHeight="1">
      <c r="A23" s="36" t="s">
        <v>73</v>
      </c>
      <c r="B23" s="40">
        <v>-2080.9</v>
      </c>
      <c r="C23" s="13">
        <v>-1646.9</v>
      </c>
      <c r="D23" s="13">
        <v>-1860.9</v>
      </c>
      <c r="E23" s="12">
        <v>-832.5</v>
      </c>
    </row>
    <row r="24" spans="1:5" ht="16.75" customHeight="1">
      <c r="A24" s="36" t="s">
        <v>74</v>
      </c>
      <c r="B24" s="40">
        <v>-611.4</v>
      </c>
      <c r="C24" s="13">
        <v>-532.6</v>
      </c>
      <c r="D24" s="13">
        <v>-1246.9000000000001</v>
      </c>
      <c r="E24" s="12">
        <v>-562.1</v>
      </c>
    </row>
    <row r="25" spans="1:5" ht="16.75" customHeight="1">
      <c r="A25" s="36" t="s">
        <v>75</v>
      </c>
      <c r="B25" s="40">
        <v>278.7</v>
      </c>
      <c r="C25" s="13">
        <v>539</v>
      </c>
      <c r="D25" s="13">
        <v>634</v>
      </c>
      <c r="E25" s="12">
        <v>-230.5</v>
      </c>
    </row>
    <row r="26" spans="1:5" ht="16.75" customHeight="1">
      <c r="A26" s="36" t="s">
        <v>76</v>
      </c>
      <c r="B26" s="40">
        <v>405.3</v>
      </c>
      <c r="C26" s="13">
        <v>-261.10000000000002</v>
      </c>
      <c r="D26" s="13">
        <v>1126.7</v>
      </c>
      <c r="E26" s="12">
        <v>15.2</v>
      </c>
    </row>
    <row r="27" spans="1:5" ht="16.75" customHeight="1">
      <c r="A27" s="36" t="s">
        <v>77</v>
      </c>
      <c r="B27" s="40">
        <v>39.799999999999997</v>
      </c>
      <c r="C27" s="13">
        <v>-931.6</v>
      </c>
      <c r="D27" s="13">
        <v>658.2</v>
      </c>
      <c r="E27" s="12">
        <v>348.7</v>
      </c>
    </row>
    <row r="28" spans="1:5" ht="16.75" customHeight="1">
      <c r="A28" s="35" t="s">
        <v>78</v>
      </c>
      <c r="B28" s="41">
        <v>6632.7</v>
      </c>
      <c r="C28" s="21">
        <v>-1564.6</v>
      </c>
      <c r="D28" s="21">
        <v>1871.8</v>
      </c>
      <c r="E28" s="20">
        <v>1122.4000000000001</v>
      </c>
    </row>
    <row r="29" spans="1:5" ht="16.75" customHeight="1">
      <c r="A29" s="19" t="s">
        <v>79</v>
      </c>
      <c r="B29" s="42">
        <v>9434.9</v>
      </c>
      <c r="C29" s="18">
        <v>6536.2</v>
      </c>
      <c r="D29" s="18">
        <v>12369.7</v>
      </c>
      <c r="E29" s="17">
        <v>13826.5</v>
      </c>
    </row>
    <row r="30" spans="1:5" ht="16.75" customHeight="1">
      <c r="B30"/>
    </row>
    <row r="31" spans="1:5" ht="16.75" customHeight="1">
      <c r="A31" s="28" t="s">
        <v>80</v>
      </c>
      <c r="B31"/>
    </row>
    <row r="32" spans="1:5" ht="16.75" customHeight="1">
      <c r="A32" s="14" t="s">
        <v>81</v>
      </c>
      <c r="B32" s="40">
        <v>-1281.8</v>
      </c>
      <c r="C32" s="13">
        <v>-2155.6</v>
      </c>
      <c r="D32" s="13">
        <v>-2067.1999999999998</v>
      </c>
      <c r="E32" s="12">
        <v>-1573.6</v>
      </c>
    </row>
    <row r="33" spans="1:5" ht="16.75" customHeight="1">
      <c r="A33" s="14" t="s">
        <v>82</v>
      </c>
      <c r="B33" s="40">
        <v>-930.6</v>
      </c>
      <c r="C33" s="13">
        <v>-985.9</v>
      </c>
      <c r="D33" s="13">
        <v>-1138.4000000000001</v>
      </c>
      <c r="E33" s="12">
        <v>-1136.8</v>
      </c>
    </row>
    <row r="34" spans="1:5" ht="16.75" customHeight="1">
      <c r="A34" s="14" t="s">
        <v>83</v>
      </c>
      <c r="B34" s="40">
        <v>-334.3</v>
      </c>
      <c r="C34" s="13">
        <v>-23.6</v>
      </c>
      <c r="D34" s="13">
        <v>-305.2</v>
      </c>
      <c r="E34" s="12">
        <v>-406.2</v>
      </c>
    </row>
    <row r="35" spans="1:5" ht="16.75" customHeight="1">
      <c r="A35" s="14" t="s">
        <v>84</v>
      </c>
      <c r="B35" s="40">
        <v>864.7</v>
      </c>
      <c r="C35" s="13">
        <v>125.6</v>
      </c>
      <c r="D35" s="13">
        <v>305.2</v>
      </c>
      <c r="E35" s="12">
        <v>5.3</v>
      </c>
    </row>
    <row r="36" spans="1:5" ht="16.75" customHeight="1">
      <c r="A36" s="14" t="s">
        <v>85</v>
      </c>
      <c r="B36" s="13">
        <v>0</v>
      </c>
      <c r="C36" s="13">
        <v>0</v>
      </c>
      <c r="D36" s="13">
        <v>0</v>
      </c>
      <c r="E36" s="12">
        <v>-1302.2</v>
      </c>
    </row>
    <row r="37" spans="1:5" ht="16.75" customHeight="1">
      <c r="A37" s="14" t="s">
        <v>86</v>
      </c>
      <c r="B37" s="40">
        <v>-240</v>
      </c>
      <c r="C37" s="13">
        <v>-561.5</v>
      </c>
      <c r="D37" s="13">
        <v>-526.20000000000005</v>
      </c>
      <c r="E37" s="12">
        <v>-703.7</v>
      </c>
    </row>
    <row r="38" spans="1:5" ht="16.75" customHeight="1">
      <c r="A38" s="14" t="s">
        <v>87</v>
      </c>
      <c r="B38" s="40">
        <v>0</v>
      </c>
      <c r="C38" s="13">
        <v>0</v>
      </c>
      <c r="D38" s="13">
        <v>0</v>
      </c>
      <c r="E38" s="12">
        <v>260.2</v>
      </c>
    </row>
    <row r="39" spans="1:5" ht="16.75" customHeight="1">
      <c r="A39" s="22" t="s">
        <v>88</v>
      </c>
      <c r="C39" s="21">
        <v>-33.6</v>
      </c>
      <c r="D39" s="21">
        <v>0</v>
      </c>
      <c r="E39" s="20">
        <v>0</v>
      </c>
    </row>
    <row r="40" spans="1:5" ht="16.75" customHeight="1">
      <c r="A40" s="19" t="s">
        <v>89</v>
      </c>
      <c r="B40" s="42">
        <v>-1922</v>
      </c>
      <c r="C40" s="18">
        <v>-3634.6</v>
      </c>
      <c r="D40" s="18">
        <v>-3731.8</v>
      </c>
      <c r="E40" s="17">
        <v>-4857</v>
      </c>
    </row>
    <row r="41" spans="1:5" ht="16.75" customHeight="1">
      <c r="B41"/>
    </row>
    <row r="42" spans="1:5" ht="16.75" customHeight="1">
      <c r="A42" s="28" t="s">
        <v>90</v>
      </c>
    </row>
    <row r="43" spans="1:5" ht="16.75" customHeight="1">
      <c r="A43" s="14" t="s">
        <v>50</v>
      </c>
      <c r="B43" s="40">
        <v>-2559.8000000000002</v>
      </c>
      <c r="C43" s="13">
        <v>-2348.3000000000002</v>
      </c>
      <c r="D43" s="13">
        <v>-2452.9</v>
      </c>
      <c r="E43" s="12">
        <v>-2550.3000000000002</v>
      </c>
    </row>
    <row r="44" spans="1:5" ht="16.75" customHeight="1">
      <c r="A44" s="14" t="s">
        <v>46</v>
      </c>
      <c r="B44" s="40">
        <v>-4639.7</v>
      </c>
      <c r="C44" s="13">
        <v>-1000</v>
      </c>
      <c r="D44" s="13">
        <v>-500</v>
      </c>
      <c r="E44" s="12">
        <v>-5950</v>
      </c>
    </row>
    <row r="45" spans="1:5" ht="16.75" customHeight="1">
      <c r="A45" s="14" t="s">
        <v>91</v>
      </c>
      <c r="B45" s="40">
        <v>81.8</v>
      </c>
      <c r="C45" s="13">
        <v>99.4</v>
      </c>
      <c r="D45" s="13">
        <v>124</v>
      </c>
      <c r="E45" s="12">
        <v>142.30000000000001</v>
      </c>
    </row>
    <row r="46" spans="1:5" ht="16.75" customHeight="1">
      <c r="A46" s="34" t="s">
        <v>92</v>
      </c>
      <c r="B46" s="40">
        <v>495.6</v>
      </c>
      <c r="C46" s="13">
        <v>997.8</v>
      </c>
      <c r="D46" s="13">
        <v>22.5</v>
      </c>
      <c r="E46" s="12">
        <v>754.1</v>
      </c>
    </row>
    <row r="47" spans="1:5" ht="16.75" customHeight="1">
      <c r="A47" s="22" t="s">
        <v>93</v>
      </c>
      <c r="B47" s="41">
        <v>-571.20000000000005</v>
      </c>
      <c r="C47" s="21">
        <v>-900.3</v>
      </c>
      <c r="D47" s="21">
        <v>-106.7</v>
      </c>
      <c r="E47" s="20">
        <v>-1155.4000000000001</v>
      </c>
    </row>
    <row r="48" spans="1:5" ht="16.75" customHeight="1">
      <c r="A48" s="19" t="s">
        <v>94</v>
      </c>
      <c r="B48" s="42">
        <v>-7193.3</v>
      </c>
      <c r="C48" s="18">
        <v>-3151.4</v>
      </c>
      <c r="D48" s="18">
        <v>-2913.1</v>
      </c>
      <c r="E48" s="17">
        <v>-8759.2999999999993</v>
      </c>
    </row>
    <row r="49" spans="1:15" ht="16.75" customHeight="1">
      <c r="C49" s="29"/>
      <c r="D49" s="29"/>
    </row>
    <row r="50" spans="1:15" ht="16.75" customHeight="1">
      <c r="A50" s="14" t="s">
        <v>95</v>
      </c>
      <c r="B50" s="40">
        <v>319.60000000000002</v>
      </c>
      <c r="C50" s="13">
        <v>-249.8</v>
      </c>
      <c r="D50" s="13">
        <v>5724.8</v>
      </c>
      <c r="E50" s="12">
        <v>210.2</v>
      </c>
    </row>
    <row r="51" spans="1:15" ht="16.75" customHeight="1">
      <c r="A51" s="22" t="s">
        <v>96</v>
      </c>
      <c r="B51" s="41">
        <v>-3.1</v>
      </c>
      <c r="C51" s="21">
        <v>-13.8</v>
      </c>
      <c r="D51" s="21">
        <v>6.4</v>
      </c>
      <c r="E51" s="20">
        <v>-30.1</v>
      </c>
    </row>
    <row r="52" spans="1:15" ht="16.75" customHeight="1">
      <c r="A52" s="19" t="s">
        <v>97</v>
      </c>
      <c r="B52" s="42">
        <v>316.5</v>
      </c>
      <c r="C52" s="18">
        <v>-263.60000000000002</v>
      </c>
      <c r="D52" s="18">
        <v>5731.2</v>
      </c>
      <c r="E52" s="17">
        <v>180.1</v>
      </c>
    </row>
    <row r="53" spans="1:15" ht="16.75" customHeight="1">
      <c r="A53" s="22" t="s">
        <v>98</v>
      </c>
      <c r="B53" s="41">
        <v>6951.8</v>
      </c>
      <c r="C53" s="21">
        <v>7268.3</v>
      </c>
      <c r="D53" s="21">
        <v>7004.7</v>
      </c>
      <c r="E53" s="20">
        <v>12735.9</v>
      </c>
    </row>
    <row r="54" spans="1:15" ht="16.75" customHeight="1">
      <c r="A54" s="19" t="s">
        <v>99</v>
      </c>
      <c r="B54" s="42">
        <v>7268.3</v>
      </c>
      <c r="C54" s="18">
        <v>7004.7</v>
      </c>
      <c r="D54" s="18">
        <v>12735.9</v>
      </c>
      <c r="E54" s="17">
        <v>12916</v>
      </c>
    </row>
    <row r="55" spans="1:15" ht="16.75" customHeight="1">
      <c r="B55"/>
      <c r="E55" s="29"/>
    </row>
    <row r="56" spans="1:15" ht="16.75" customHeight="1">
      <c r="A56" s="28" t="s">
        <v>100</v>
      </c>
      <c r="B56" s="40">
        <v>50.3</v>
      </c>
      <c r="E56" s="29"/>
    </row>
    <row r="57" spans="1:15" ht="22.5" customHeight="1">
      <c r="A57" s="14" t="s">
        <v>101</v>
      </c>
      <c r="B57" s="40">
        <v>42.4</v>
      </c>
      <c r="C57" s="13">
        <v>49.3</v>
      </c>
      <c r="D57" s="13">
        <v>23.6</v>
      </c>
      <c r="E57" s="12">
        <v>22.3</v>
      </c>
    </row>
    <row r="58" spans="1:15" ht="16.75" customHeight="1">
      <c r="A58" s="14" t="s">
        <v>102</v>
      </c>
      <c r="B58" s="40">
        <v>-82.2</v>
      </c>
      <c r="C58" s="13">
        <v>190.8</v>
      </c>
      <c r="D58" s="13">
        <v>169.5</v>
      </c>
      <c r="E58" s="12">
        <v>201.3</v>
      </c>
    </row>
    <row r="59" spans="1:15" ht="16.75" customHeight="1">
      <c r="A59" s="14" t="s">
        <v>103</v>
      </c>
      <c r="B59" s="40">
        <v>-1734.6</v>
      </c>
      <c r="C59" s="13">
        <v>-137.80000000000001</v>
      </c>
      <c r="D59" s="13">
        <v>-160</v>
      </c>
      <c r="E59" s="12">
        <v>-114.5</v>
      </c>
    </row>
    <row r="60" spans="1:15" ht="16.75" customHeight="1">
      <c r="A60" s="14" t="s">
        <v>104</v>
      </c>
      <c r="B60" s="13">
        <v>-2568.3000000000002</v>
      </c>
      <c r="C60" s="13">
        <v>-2568.3000000000002</v>
      </c>
      <c r="D60" s="13">
        <v>-1098</v>
      </c>
      <c r="E60" s="12">
        <v>-1621.4</v>
      </c>
    </row>
    <row r="61" spans="1:15" ht="16.75" customHeight="1"/>
    <row r="62" spans="1:15" ht="16.75" customHeight="1"/>
    <row r="63" spans="1:15" ht="16.75" customHeight="1"/>
    <row r="64" spans="1:15" s="58" customFormat="1" ht="16.75" customHeight="1">
      <c r="A64" s="543" t="s">
        <v>387</v>
      </c>
      <c r="B64" s="544"/>
      <c r="C64" s="544"/>
      <c r="D64" s="544"/>
      <c r="E64" s="544"/>
      <c r="F64" s="544"/>
      <c r="G64" s="544"/>
      <c r="H64" s="544"/>
      <c r="I64" s="544"/>
      <c r="J64" s="544"/>
      <c r="K64" s="544"/>
      <c r="L64" s="544"/>
      <c r="M64" s="544"/>
      <c r="N64" s="544"/>
      <c r="O64" s="544"/>
    </row>
    <row r="65" spans="1:16" ht="37" customHeight="1">
      <c r="A65" s="544"/>
      <c r="B65" s="544"/>
      <c r="C65" s="544"/>
      <c r="D65" s="544"/>
      <c r="E65" s="544"/>
      <c r="F65" s="544"/>
      <c r="G65" s="544"/>
      <c r="H65" s="544"/>
      <c r="I65" s="544"/>
      <c r="J65" s="544"/>
      <c r="K65" s="544"/>
      <c r="L65" s="544"/>
      <c r="M65" s="544"/>
      <c r="N65" s="544"/>
      <c r="O65" s="544"/>
    </row>
    <row r="66" spans="1:16" ht="16.75" customHeight="1"/>
    <row r="67" spans="1:16" ht="16.75" customHeight="1">
      <c r="B67" s="38" t="s">
        <v>16</v>
      </c>
      <c r="C67" s="30" t="s">
        <v>17</v>
      </c>
      <c r="D67" s="30" t="s">
        <v>18</v>
      </c>
      <c r="E67" s="30" t="s">
        <v>19</v>
      </c>
      <c r="F67" t="s">
        <v>105</v>
      </c>
      <c r="G67" t="s">
        <v>106</v>
      </c>
      <c r="H67" t="s">
        <v>107</v>
      </c>
      <c r="I67" t="s">
        <v>108</v>
      </c>
      <c r="J67" t="s">
        <v>109</v>
      </c>
      <c r="K67" s="64" t="s">
        <v>374</v>
      </c>
      <c r="L67" s="64" t="s">
        <v>375</v>
      </c>
      <c r="M67" s="64" t="s">
        <v>376</v>
      </c>
      <c r="N67" s="64" t="s">
        <v>377</v>
      </c>
      <c r="O67" s="64" t="s">
        <v>378</v>
      </c>
      <c r="P67" s="81"/>
    </row>
    <row r="68" spans="1:16" ht="16.75" customHeight="1">
      <c r="A68" s="14" t="s">
        <v>50</v>
      </c>
      <c r="B68" s="95">
        <v>-2559.8000000000002</v>
      </c>
      <c r="C68" s="96">
        <v>-2348.3000000000002</v>
      </c>
      <c r="D68" s="96">
        <v>-2452.9</v>
      </c>
      <c r="E68" s="97">
        <v>-2550.3000000000002</v>
      </c>
      <c r="F68" s="98">
        <f>-F70*'Pro Forma Financial Statement'!C27</f>
        <v>-3432.0502647090102</v>
      </c>
      <c r="G68" s="98">
        <f>-G70*'Pro Forma Financial Statement'!D27</f>
        <v>-4024.9833687643336</v>
      </c>
      <c r="H68" s="98">
        <f>-H70*'Pro Forma Financial Statement'!E27</f>
        <v>-4592.6608032725853</v>
      </c>
      <c r="I68" s="98">
        <f>-I70*'Pro Forma Financial Statement'!F27</f>
        <v>-5120.4904046216834</v>
      </c>
      <c r="J68" s="98">
        <f>-J70*'Pro Forma Financial Statement'!G27</f>
        <v>-5707.0688443501522</v>
      </c>
      <c r="K68" s="98">
        <f>-K70*'Pro Forma Financial Statement'!H27</f>
        <v>-6237.0674702402548</v>
      </c>
      <c r="L68" s="98">
        <f>-L70*'Pro Forma Financial Statement'!I27</f>
        <v>-6716.5254317732761</v>
      </c>
      <c r="M68" s="98">
        <f>-M70*'Pro Forma Financial Statement'!J27</f>
        <v>-7184.1110658340403</v>
      </c>
      <c r="N68" s="98">
        <f>-N70*'Pro Forma Financial Statement'!K27</f>
        <v>-7646.6337527721253</v>
      </c>
      <c r="O68" s="98">
        <f>-O70*'Pro Forma Financial Statement'!L27</f>
        <v>-8098.9624808100825</v>
      </c>
      <c r="P68" s="98"/>
    </row>
    <row r="69" spans="1:16" ht="16.75" customHeight="1">
      <c r="A69" s="14" t="s">
        <v>46</v>
      </c>
      <c r="B69" s="95">
        <v>-4639.7</v>
      </c>
      <c r="C69" s="96">
        <v>-1000</v>
      </c>
      <c r="D69" s="96">
        <v>-500</v>
      </c>
      <c r="E69" s="97">
        <v>-5950</v>
      </c>
      <c r="F69" s="98">
        <f>-F71*'Pro Forma Financial Statement'!C19</f>
        <v>-4150.1961288783968</v>
      </c>
      <c r="G69" s="98">
        <f>-G71*'Pro Forma Financial Statement'!D19</f>
        <v>-4867.1986443829001</v>
      </c>
      <c r="H69" s="98">
        <f>-H71*'Pro Forma Financial Statement'!E19</f>
        <v>-5553.6608198858921</v>
      </c>
      <c r="I69" s="98">
        <f>-I71*'Pro Forma Financial Statement'!F19</f>
        <v>-6191.9371268362465</v>
      </c>
      <c r="J69" s="98">
        <f>-J71*'Pro Forma Financial Statement'!G19</f>
        <v>-6901.2552842295581</v>
      </c>
      <c r="K69" s="98">
        <f>-K71*'Pro Forma Financial Statement'!H19</f>
        <v>-7542.1544773730675</v>
      </c>
      <c r="L69" s="98">
        <f>-L71*'Pro Forma Financial Statement'!I19</f>
        <v>-8121.9375290303788</v>
      </c>
      <c r="M69" s="98">
        <f>-M71*'Pro Forma Financial Statement'!J19</f>
        <v>-8687.3640055457709</v>
      </c>
      <c r="N69" s="98">
        <f>-N71*'Pro Forma Financial Statement'!K19</f>
        <v>-9246.6681289693915</v>
      </c>
      <c r="O69" s="98">
        <f>-O71*'Pro Forma Financial Statement'!L19</f>
        <v>-9793.645239236972</v>
      </c>
      <c r="P69" s="98"/>
    </row>
    <row r="70" spans="1:16" ht="16.75" customHeight="1">
      <c r="A70" s="11" t="s">
        <v>110</v>
      </c>
      <c r="B70" s="80">
        <f>-B68/B11</f>
        <v>0.40023140185746897</v>
      </c>
      <c r="C70" s="80">
        <f>-C68/C11</f>
        <v>0.28937056388012622</v>
      </c>
      <c r="D70" s="80">
        <f>-D68/D11</f>
        <v>0.29379566415139541</v>
      </c>
      <c r="E70" s="80">
        <f>-E68/E11</f>
        <v>0.2497111524527563</v>
      </c>
      <c r="F70" s="76">
        <f>AVERAGE(B70:E70)</f>
        <v>0.3082771955854367</v>
      </c>
      <c r="G70" s="76">
        <f>F70</f>
        <v>0.3082771955854367</v>
      </c>
      <c r="H70" s="76">
        <f t="shared" ref="H70:J70" si="0">G70</f>
        <v>0.3082771955854367</v>
      </c>
      <c r="I70" s="76">
        <f t="shared" si="0"/>
        <v>0.3082771955854367</v>
      </c>
      <c r="J70" s="76">
        <f t="shared" si="0"/>
        <v>0.3082771955854367</v>
      </c>
      <c r="K70" s="76">
        <f t="shared" ref="K70:K71" si="1">J70</f>
        <v>0.3082771955854367</v>
      </c>
      <c r="L70" s="76">
        <f t="shared" ref="L70:L71" si="2">K70</f>
        <v>0.3082771955854367</v>
      </c>
      <c r="M70" s="76">
        <f t="shared" ref="M70:M71" si="3">L70</f>
        <v>0.3082771955854367</v>
      </c>
      <c r="N70" s="76">
        <f t="shared" ref="N70:N71" si="4">M70</f>
        <v>0.3082771955854367</v>
      </c>
      <c r="O70" s="76">
        <f t="shared" ref="O70:O71" si="5">N70</f>
        <v>0.3082771955854367</v>
      </c>
      <c r="P70" s="76"/>
    </row>
    <row r="71" spans="1:16" ht="16.75" customHeight="1">
      <c r="A71" s="11" t="s">
        <v>111</v>
      </c>
      <c r="B71" s="80">
        <f>-B69/B11</f>
        <v>0.72542918790456234</v>
      </c>
      <c r="C71" s="80">
        <f>-C69/C11</f>
        <v>0.12322555205047318</v>
      </c>
      <c r="D71" s="80">
        <f>-D69/D11</f>
        <v>5.9887411666067793E-2</v>
      </c>
      <c r="E71" s="80">
        <f>-E69/E11</f>
        <v>0.58259081562714188</v>
      </c>
      <c r="F71" s="76">
        <f>AVERAGE(B71:E71)</f>
        <v>0.37278324181206129</v>
      </c>
      <c r="G71" s="76">
        <f>F71</f>
        <v>0.37278324181206129</v>
      </c>
      <c r="H71" s="76">
        <f t="shared" ref="H71:J71" si="6">G71</f>
        <v>0.37278324181206129</v>
      </c>
      <c r="I71" s="76">
        <f t="shared" si="6"/>
        <v>0.37278324181206129</v>
      </c>
      <c r="J71" s="76">
        <f t="shared" si="6"/>
        <v>0.37278324181206129</v>
      </c>
      <c r="K71" s="76">
        <f t="shared" si="1"/>
        <v>0.37278324181206129</v>
      </c>
      <c r="L71" s="76">
        <f t="shared" si="2"/>
        <v>0.37278324181206129</v>
      </c>
      <c r="M71" s="76">
        <f t="shared" si="3"/>
        <v>0.37278324181206129</v>
      </c>
      <c r="N71" s="76">
        <f t="shared" si="4"/>
        <v>0.37278324181206129</v>
      </c>
      <c r="O71" s="76">
        <f t="shared" si="5"/>
        <v>0.37278324181206129</v>
      </c>
      <c r="P71" s="76"/>
    </row>
    <row r="72" spans="1:16" ht="16.75" customHeight="1"/>
    <row r="73" spans="1:16" ht="16.75" customHeight="1">
      <c r="A73" s="11" t="s">
        <v>112</v>
      </c>
      <c r="B73" s="98">
        <f>SUM(B68:B69)</f>
        <v>-7199.5</v>
      </c>
      <c r="C73" s="98">
        <f>SUM(C68:C69)</f>
        <v>-3348.3</v>
      </c>
      <c r="D73" s="98">
        <f>SUM(D68:D69)</f>
        <v>-2952.9</v>
      </c>
      <c r="E73" s="98">
        <f>SUM(E68:E69)</f>
        <v>-8500.2999999999993</v>
      </c>
      <c r="F73" s="98">
        <f>F68+F69</f>
        <v>-7582.2463935874075</v>
      </c>
      <c r="G73" s="98">
        <f t="shared" ref="G73:O73" si="7">G68+G69</f>
        <v>-8892.1820131472341</v>
      </c>
      <c r="H73" s="98">
        <f t="shared" si="7"/>
        <v>-10146.321623158477</v>
      </c>
      <c r="I73" s="98">
        <f t="shared" si="7"/>
        <v>-11312.42753145793</v>
      </c>
      <c r="J73" s="98">
        <f t="shared" si="7"/>
        <v>-12608.32412857971</v>
      </c>
      <c r="K73" s="98">
        <f t="shared" si="7"/>
        <v>-13779.221947613321</v>
      </c>
      <c r="L73" s="98">
        <f t="shared" si="7"/>
        <v>-14838.462960803656</v>
      </c>
      <c r="M73" s="98">
        <f t="shared" si="7"/>
        <v>-15871.475071379811</v>
      </c>
      <c r="N73" s="98">
        <f t="shared" si="7"/>
        <v>-16893.301881741518</v>
      </c>
      <c r="O73" s="98">
        <f t="shared" si="7"/>
        <v>-17892.607720047054</v>
      </c>
      <c r="P73" s="98"/>
    </row>
    <row r="74" spans="1:16" ht="16.75" customHeight="1">
      <c r="A74" s="11" t="s">
        <v>113</v>
      </c>
      <c r="B74" s="79">
        <f>-B73/B11</f>
        <v>1.1256605897620313</v>
      </c>
      <c r="C74" s="79">
        <f>-C73/C11</f>
        <v>0.41259611593059942</v>
      </c>
      <c r="D74" s="79">
        <f>-D73/D11</f>
        <v>0.35368307581746317</v>
      </c>
      <c r="E74" s="79">
        <f>-E73/E11</f>
        <v>0.83230196807989809</v>
      </c>
      <c r="F74" s="79">
        <f>-F73/'Pro Forma Financial Statement'!C19</f>
        <v>0.681060437397498</v>
      </c>
      <c r="G74" s="79">
        <f>-G73/'Pro Forma Financial Statement'!D19</f>
        <v>0.681060437397498</v>
      </c>
      <c r="H74" s="79">
        <f>-H73/'Pro Forma Financial Statement'!E19</f>
        <v>0.681060437397498</v>
      </c>
      <c r="I74" s="79">
        <f>-I73/'Pro Forma Financial Statement'!F19</f>
        <v>0.681060437397498</v>
      </c>
      <c r="J74" s="79">
        <f>-J73/'Pro Forma Financial Statement'!G19</f>
        <v>0.681060437397498</v>
      </c>
      <c r="K74" s="79">
        <f>-K73/'Pro Forma Financial Statement'!H19</f>
        <v>0.681060437397498</v>
      </c>
      <c r="L74" s="79">
        <f>-L73/'Pro Forma Financial Statement'!I19</f>
        <v>0.681060437397498</v>
      </c>
      <c r="M74" s="79">
        <f>-M73/'Pro Forma Financial Statement'!J19</f>
        <v>0.681060437397498</v>
      </c>
      <c r="N74" s="79">
        <f>-N73/'Pro Forma Financial Statement'!K19</f>
        <v>0.681060437397498</v>
      </c>
      <c r="O74" s="79">
        <f>-O73/'Pro Forma Financial Statement'!L19</f>
        <v>0.681060437397498</v>
      </c>
      <c r="P74" s="79"/>
    </row>
    <row r="75" spans="1:16" ht="16.75" customHeight="1"/>
    <row r="76" spans="1:16" ht="16.75" customHeight="1"/>
    <row r="77" spans="1:16" ht="16.75" customHeight="1"/>
    <row r="78" spans="1:16" ht="16.75" customHeight="1">
      <c r="B78" s="38" t="s">
        <v>16</v>
      </c>
      <c r="C78" s="30" t="s">
        <v>17</v>
      </c>
      <c r="D78" s="30" t="s">
        <v>18</v>
      </c>
      <c r="E78" s="30" t="s">
        <v>19</v>
      </c>
      <c r="F78" t="s">
        <v>105</v>
      </c>
      <c r="G78" t="s">
        <v>106</v>
      </c>
      <c r="H78" t="s">
        <v>107</v>
      </c>
      <c r="I78" t="s">
        <v>108</v>
      </c>
      <c r="J78" t="s">
        <v>109</v>
      </c>
      <c r="K78" s="64" t="s">
        <v>374</v>
      </c>
      <c r="L78" s="64" t="s">
        <v>375</v>
      </c>
      <c r="M78" s="64" t="s">
        <v>376</v>
      </c>
      <c r="N78" s="64" t="s">
        <v>377</v>
      </c>
      <c r="O78" s="64" t="s">
        <v>378</v>
      </c>
      <c r="P78" s="81"/>
    </row>
    <row r="79" spans="1:16" ht="16.75" customHeight="1">
      <c r="A79" s="14" t="s">
        <v>114</v>
      </c>
      <c r="B79" s="40">
        <f>B32*-1</f>
        <v>1281.8</v>
      </c>
      <c r="C79" s="40">
        <f t="shared" ref="C79:E79" si="8">C32*-1</f>
        <v>2155.6</v>
      </c>
      <c r="D79" s="40">
        <f t="shared" si="8"/>
        <v>2067.1999999999998</v>
      </c>
      <c r="E79" s="40">
        <f t="shared" si="8"/>
        <v>1573.6</v>
      </c>
      <c r="F79" s="11">
        <f>F80*'ASML Revenue Model'!G7</f>
        <v>2644.6840010969445</v>
      </c>
      <c r="G79" s="11">
        <f>G80*'ASML Revenue Model'!H7</f>
        <v>3073.2153356155841</v>
      </c>
      <c r="H79" s="11">
        <f>H80*'ASML Revenue Model'!I7</f>
        <v>3475.9377609144749</v>
      </c>
      <c r="I79" s="11">
        <f>I80*'ASML Revenue Model'!J7</f>
        <v>3842.5684747145515</v>
      </c>
      <c r="J79" s="11">
        <f>J80*'ASML Revenue Model'!K7</f>
        <v>4246.9794524460876</v>
      </c>
      <c r="K79" s="11">
        <f>K80*'ASML Revenue Model'!L7</f>
        <v>4603.5360084138965</v>
      </c>
      <c r="L79" s="11">
        <f>L80*'ASML Revenue Model'!M7</f>
        <v>4917.7471641196134</v>
      </c>
      <c r="M79" s="11">
        <f>M80*'ASML Revenue Model'!N7</f>
        <v>5218.5666566304408</v>
      </c>
      <c r="N79" s="11">
        <f>N80*'ASML Revenue Model'!O7</f>
        <v>5511.1894643680507</v>
      </c>
      <c r="O79" s="11">
        <f>O80*'ASML Revenue Model'!P7</f>
        <v>5792.1432502658254</v>
      </c>
    </row>
    <row r="80" spans="1:16" ht="16.75" customHeight="1">
      <c r="A80" s="11" t="s">
        <v>115</v>
      </c>
      <c r="B80" s="80">
        <f>B79/'ASML Revenue Model'!C7</f>
        <v>6.0538222486705012E-2</v>
      </c>
      <c r="C80" s="80">
        <f>C79/'ASML Revenue Model'!D7</f>
        <v>7.8219061269662715E-2</v>
      </c>
      <c r="D80" s="80">
        <f>D79/'ASML Revenue Model'!E7</f>
        <v>7.3141821964483461E-2</v>
      </c>
      <c r="E80" s="80">
        <f>E79/'ASML Revenue Model'!F7</f>
        <v>4.8170494653675081E-2</v>
      </c>
      <c r="F80" s="80">
        <f>AVERAGE(B80:E80)</f>
        <v>6.5017400093631564E-2</v>
      </c>
      <c r="G80" s="80">
        <f>F80</f>
        <v>6.5017400093631564E-2</v>
      </c>
      <c r="H80" s="80">
        <f t="shared" ref="H80:J80" si="9">G80</f>
        <v>6.5017400093631564E-2</v>
      </c>
      <c r="I80" s="80">
        <f t="shared" si="9"/>
        <v>6.5017400093631564E-2</v>
      </c>
      <c r="J80" s="80">
        <f t="shared" si="9"/>
        <v>6.5017400093631564E-2</v>
      </c>
      <c r="K80" s="80">
        <f t="shared" ref="K80" si="10">J80</f>
        <v>6.5017400093631564E-2</v>
      </c>
      <c r="L80" s="80">
        <f t="shared" ref="L80" si="11">K80</f>
        <v>6.5017400093631564E-2</v>
      </c>
      <c r="M80" s="80">
        <f t="shared" ref="M80" si="12">L80</f>
        <v>6.5017400093631564E-2</v>
      </c>
      <c r="N80" s="80">
        <f t="shared" ref="N80" si="13">M80</f>
        <v>6.5017400093631564E-2</v>
      </c>
      <c r="O80" s="80">
        <f t="shared" ref="O80" si="14">N80</f>
        <v>6.5017400093631564E-2</v>
      </c>
      <c r="P80" s="80"/>
    </row>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sheetData>
  <mergeCells count="6">
    <mergeCell ref="A64:O65"/>
    <mergeCell ref="A2:D2"/>
    <mergeCell ref="A4:D4"/>
    <mergeCell ref="A3:D3"/>
    <mergeCell ref="A5:D5"/>
    <mergeCell ref="A6:D6"/>
  </mergeCells>
  <pageMargins left="0.75" right="0.75" top="1" bottom="1" header="0.5" footer="0.5"/>
  <headerFooter>
    <oddFooter>&amp;R_x000D_&amp;1#&amp;"Arial"&amp;7&amp;K000000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31E7-1FEF-634E-BB3B-689B2ADDEDD7}">
  <sheetPr>
    <tabColor rgb="FF92D050"/>
  </sheetPr>
  <dimension ref="A1:F103"/>
  <sheetViews>
    <sheetView showRuler="0" topLeftCell="A3" zoomScale="125" workbookViewId="0">
      <selection activeCell="B46" sqref="B46"/>
    </sheetView>
  </sheetViews>
  <sheetFormatPr baseColWidth="10" defaultColWidth="13" defaultRowHeight="13"/>
  <cols>
    <col min="1" max="1" width="53.83203125" style="11" customWidth="1"/>
    <col min="2" max="27" width="20.1640625" style="11" customWidth="1"/>
    <col min="28" max="16384" width="13" style="11"/>
  </cols>
  <sheetData>
    <row r="1" spans="1:5" ht="22.5" customHeight="1">
      <c r="A1" s="27" t="s">
        <v>11</v>
      </c>
    </row>
    <row r="2" spans="1:5" ht="32.5" customHeight="1">
      <c r="A2" s="540" t="s">
        <v>12</v>
      </c>
      <c r="B2" s="541"/>
      <c r="C2" s="541"/>
      <c r="D2" s="541"/>
    </row>
    <row r="3" spans="1:5" ht="16.75" customHeight="1">
      <c r="A3" s="541"/>
      <c r="B3" s="541"/>
      <c r="C3" s="541"/>
      <c r="D3" s="541"/>
    </row>
    <row r="4" spans="1:5" ht="16.75" customHeight="1">
      <c r="A4" s="540" t="s">
        <v>13</v>
      </c>
      <c r="B4" s="541"/>
      <c r="C4" s="541"/>
      <c r="D4" s="541"/>
    </row>
    <row r="5" spans="1:5" ht="16.75" customHeight="1">
      <c r="A5" s="541"/>
      <c r="B5" s="541"/>
      <c r="C5" s="541"/>
      <c r="D5" s="541"/>
    </row>
    <row r="6" spans="1:5" ht="16.75" customHeight="1">
      <c r="A6" s="542" t="s">
        <v>116</v>
      </c>
      <c r="B6" s="541"/>
      <c r="C6" s="541"/>
      <c r="D6" s="541"/>
    </row>
    <row r="7" spans="1:5" ht="16.75" customHeight="1">
      <c r="A7" s="23"/>
      <c r="B7" s="26"/>
      <c r="C7" s="23"/>
      <c r="D7" s="23"/>
    </row>
    <row r="8" spans="1:5" ht="16.75" customHeight="1">
      <c r="A8" s="25" t="s">
        <v>117</v>
      </c>
      <c r="B8" s="52">
        <v>2022</v>
      </c>
      <c r="C8" s="24">
        <v>2023</v>
      </c>
      <c r="D8" s="24">
        <v>2024</v>
      </c>
      <c r="E8" s="24">
        <v>2025</v>
      </c>
    </row>
    <row r="9" spans="1:5" ht="16.75" customHeight="1">
      <c r="A9" s="23" t="s">
        <v>118</v>
      </c>
      <c r="B9" s="42">
        <v>15430.3</v>
      </c>
      <c r="C9" s="18">
        <v>21938.6</v>
      </c>
      <c r="D9" s="18">
        <v>21768.7</v>
      </c>
      <c r="E9" s="17">
        <v>24474.3</v>
      </c>
    </row>
    <row r="10" spans="1:5" ht="16.75" customHeight="1">
      <c r="A10" s="22" t="s">
        <v>119</v>
      </c>
      <c r="B10" s="41">
        <v>5743.1</v>
      </c>
      <c r="C10" s="21">
        <v>5619.9</v>
      </c>
      <c r="D10" s="21">
        <v>6494.2</v>
      </c>
      <c r="E10" s="20">
        <v>8193</v>
      </c>
    </row>
    <row r="11" spans="1:5" ht="16.75" customHeight="1">
      <c r="A11" s="19" t="s">
        <v>120</v>
      </c>
      <c r="B11" s="42">
        <v>21173.4</v>
      </c>
      <c r="C11" s="18">
        <v>27558.5</v>
      </c>
      <c r="D11" s="18">
        <v>28262.9</v>
      </c>
      <c r="E11" s="17">
        <v>32667.3</v>
      </c>
    </row>
    <row r="12" spans="1:5" ht="4.25" customHeight="1">
      <c r="B12"/>
    </row>
    <row r="13" spans="1:5" ht="16.75" customHeight="1">
      <c r="A13" s="14" t="s">
        <v>121</v>
      </c>
      <c r="B13" s="40">
        <v>-7843.3</v>
      </c>
      <c r="C13" s="13">
        <v>-10439.1</v>
      </c>
      <c r="D13" s="13">
        <v>-10615.1</v>
      </c>
      <c r="E13" s="12">
        <v>-11710.6</v>
      </c>
    </row>
    <row r="14" spans="1:5" ht="16.75" customHeight="1">
      <c r="A14" s="22" t="s">
        <v>122</v>
      </c>
      <c r="B14" s="41">
        <v>-2817.4</v>
      </c>
      <c r="C14" s="21">
        <v>-3345</v>
      </c>
      <c r="D14" s="21">
        <v>-3364</v>
      </c>
      <c r="E14" s="20">
        <v>-4025.3</v>
      </c>
    </row>
    <row r="15" spans="1:5" ht="16.75" customHeight="1">
      <c r="A15" s="19" t="s">
        <v>123</v>
      </c>
      <c r="B15" s="42">
        <v>-10660.7</v>
      </c>
      <c r="C15" s="18">
        <v>-13784.1</v>
      </c>
      <c r="D15" s="18">
        <v>-13979.1</v>
      </c>
      <c r="E15" s="17">
        <v>-15735.9</v>
      </c>
    </row>
    <row r="16" spans="1:5" ht="4.25" customHeight="1">
      <c r="B16"/>
    </row>
    <row r="17" spans="1:6" ht="16.75" customHeight="1">
      <c r="A17" s="19" t="s">
        <v>124</v>
      </c>
      <c r="B17" s="42">
        <v>10512.7</v>
      </c>
      <c r="C17" s="18">
        <v>13774.4</v>
      </c>
      <c r="D17" s="18">
        <v>14283.8</v>
      </c>
      <c r="E17" s="17">
        <v>16931.400000000001</v>
      </c>
    </row>
    <row r="18" spans="1:6" ht="4.25" customHeight="1">
      <c r="B18"/>
    </row>
    <row r="19" spans="1:6" ht="16.75" customHeight="1">
      <c r="A19" s="14" t="s">
        <v>125</v>
      </c>
      <c r="B19" s="40">
        <v>-2282.1</v>
      </c>
      <c r="C19" s="13">
        <v>-3113.1</v>
      </c>
      <c r="D19" s="13">
        <v>-3181</v>
      </c>
      <c r="E19" s="12">
        <v>-3619.6</v>
      </c>
    </row>
    <row r="20" spans="1:6" ht="16.75" customHeight="1">
      <c r="A20" s="14" t="s">
        <v>126</v>
      </c>
      <c r="B20" s="40">
        <v>-909.6</v>
      </c>
      <c r="C20" s="13">
        <v>-1149.4000000000001</v>
      </c>
      <c r="D20" s="13">
        <v>-1165.7</v>
      </c>
      <c r="E20" s="12">
        <v>-1257.8</v>
      </c>
    </row>
    <row r="21" spans="1:6">
      <c r="A21" s="22" t="s">
        <v>127</v>
      </c>
      <c r="B21" s="41">
        <v>0</v>
      </c>
      <c r="C21" s="21">
        <v>0</v>
      </c>
      <c r="D21" s="21">
        <v>0</v>
      </c>
      <c r="E21" s="20">
        <v>0</v>
      </c>
    </row>
    <row r="22" spans="1:6" ht="16.75" customHeight="1">
      <c r="A22" s="19" t="s">
        <v>128</v>
      </c>
      <c r="B22" s="42">
        <v>7321</v>
      </c>
      <c r="C22" s="18">
        <v>9511.9</v>
      </c>
      <c r="D22" s="18">
        <v>9937.1</v>
      </c>
      <c r="E22" s="17">
        <v>12054</v>
      </c>
      <c r="F22" s="73">
        <f>E22*(1-'DCF Model'!O4)</f>
        <v>8944.0679999999993</v>
      </c>
    </row>
    <row r="23" spans="1:6" ht="15">
      <c r="B23"/>
      <c r="F23" s="73"/>
    </row>
    <row r="24" spans="1:6" ht="16.75" customHeight="1">
      <c r="A24" s="14" t="s">
        <v>129</v>
      </c>
      <c r="B24" s="40">
        <v>16.2</v>
      </c>
      <c r="C24" s="13">
        <v>193.9</v>
      </c>
      <c r="D24" s="13">
        <v>182.4</v>
      </c>
      <c r="E24" s="12">
        <v>223</v>
      </c>
    </row>
    <row r="25" spans="1:6" ht="16.75" customHeight="1">
      <c r="A25" s="22" t="s">
        <v>130</v>
      </c>
      <c r="B25" s="41">
        <v>-60.8</v>
      </c>
      <c r="C25" s="21">
        <v>-152.69999999999999</v>
      </c>
      <c r="D25" s="21">
        <v>-162.6</v>
      </c>
      <c r="E25" s="20">
        <v>-118.3</v>
      </c>
    </row>
    <row r="26" spans="1:6" ht="16.75" customHeight="1">
      <c r="A26" s="19" t="s">
        <v>131</v>
      </c>
      <c r="B26" s="42">
        <v>7276.4</v>
      </c>
      <c r="C26" s="18">
        <v>9553.1</v>
      </c>
      <c r="D26" s="18">
        <v>9956.9</v>
      </c>
      <c r="E26" s="17">
        <v>12158.7</v>
      </c>
    </row>
    <row r="27" spans="1:6" ht="4.25" customHeight="1">
      <c r="B27"/>
    </row>
    <row r="28" spans="1:6" ht="16.75" customHeight="1">
      <c r="A28" s="22" t="s">
        <v>132</v>
      </c>
      <c r="B28" s="41">
        <v>-1018.6</v>
      </c>
      <c r="C28" s="21">
        <v>-1629.2</v>
      </c>
      <c r="D28" s="21">
        <v>-1817.7</v>
      </c>
      <c r="E28" s="20">
        <v>-2162.4</v>
      </c>
    </row>
    <row r="29" spans="1:6" ht="16.75" customHeight="1">
      <c r="A29" s="19" t="s">
        <v>133</v>
      </c>
      <c r="B29" s="42">
        <v>6257.8</v>
      </c>
      <c r="C29" s="18">
        <v>7923.9</v>
      </c>
      <c r="D29" s="18">
        <v>8139.2</v>
      </c>
      <c r="E29" s="17">
        <v>9996.2999999999993</v>
      </c>
    </row>
    <row r="30" spans="1:6" ht="4.25" customHeight="1">
      <c r="B30"/>
    </row>
    <row r="31" spans="1:6" ht="16.75" customHeight="1">
      <c r="A31" s="22" t="s">
        <v>134</v>
      </c>
      <c r="B31" s="41">
        <v>138</v>
      </c>
      <c r="C31" s="21">
        <v>191.3</v>
      </c>
      <c r="D31" s="21">
        <v>209.8</v>
      </c>
      <c r="E31" s="20">
        <v>216.7</v>
      </c>
    </row>
    <row r="32" spans="1:6" ht="16.75" customHeight="1">
      <c r="A32" s="19" t="s">
        <v>20</v>
      </c>
      <c r="B32" s="42">
        <v>6395.8</v>
      </c>
      <c r="C32" s="18">
        <v>8115.2</v>
      </c>
      <c r="D32" s="18">
        <v>8349</v>
      </c>
      <c r="E32" s="17">
        <v>10213</v>
      </c>
    </row>
    <row r="33" spans="1:5" ht="4.25" customHeight="1">
      <c r="B33"/>
    </row>
    <row r="34" spans="1:5" ht="16.75" customHeight="1">
      <c r="A34" s="14" t="s">
        <v>135</v>
      </c>
      <c r="B34" s="53">
        <v>16.079999999999998</v>
      </c>
      <c r="C34" s="16">
        <v>20.61</v>
      </c>
      <c r="D34" s="16">
        <v>21.23</v>
      </c>
      <c r="E34" s="15">
        <v>26.29</v>
      </c>
    </row>
    <row r="35" spans="1:5" ht="16.75" customHeight="1">
      <c r="A35" s="14" t="s">
        <v>136</v>
      </c>
      <c r="B35" s="53">
        <v>16.07</v>
      </c>
      <c r="C35" s="16">
        <v>20.59</v>
      </c>
      <c r="D35" s="16">
        <v>21.21</v>
      </c>
      <c r="E35" s="15">
        <v>26.26</v>
      </c>
    </row>
    <row r="36" spans="1:5" ht="14.25" customHeight="1">
      <c r="A36" s="14" t="s">
        <v>137</v>
      </c>
      <c r="B36"/>
    </row>
    <row r="37" spans="1:5" ht="16.75" customHeight="1">
      <c r="A37" s="14" t="s">
        <v>138</v>
      </c>
      <c r="B37" s="40">
        <v>397.7</v>
      </c>
      <c r="C37" s="13">
        <v>393.8</v>
      </c>
      <c r="D37" s="13">
        <v>393.3</v>
      </c>
      <c r="E37" s="12">
        <v>388.5</v>
      </c>
    </row>
    <row r="38" spans="1:5" ht="16.75" customHeight="1">
      <c r="A38" s="14" t="s">
        <v>139</v>
      </c>
      <c r="B38" s="40">
        <v>398</v>
      </c>
      <c r="C38" s="13">
        <v>394.1</v>
      </c>
      <c r="D38" s="13">
        <v>393.6</v>
      </c>
      <c r="E38" s="12">
        <v>388.9</v>
      </c>
    </row>
    <row r="39" spans="1:5" ht="16.75" customHeight="1"/>
    <row r="40" spans="1:5" ht="16.75" customHeight="1">
      <c r="A40" s="11" t="s">
        <v>140</v>
      </c>
      <c r="B40" s="62">
        <f>B32/B11</f>
        <v>0.30206768870375095</v>
      </c>
      <c r="C40" s="62">
        <f t="shared" ref="C40:E40" si="0">C32/C11</f>
        <v>0.29447176007402437</v>
      </c>
      <c r="D40" s="62">
        <f t="shared" si="0"/>
        <v>0.29540493013809621</v>
      </c>
      <c r="E40" s="62">
        <f t="shared" si="0"/>
        <v>0.31263679581722398</v>
      </c>
    </row>
    <row r="41" spans="1:5" ht="16.75" customHeight="1"/>
    <row r="42" spans="1:5" ht="16.75" customHeight="1"/>
    <row r="43" spans="1:5" ht="16.75" customHeight="1"/>
    <row r="44" spans="1:5" ht="16.75" customHeight="1"/>
    <row r="45" spans="1:5" ht="16.75" customHeight="1"/>
    <row r="46" spans="1:5" ht="16.75" customHeight="1"/>
    <row r="47" spans="1:5" ht="16.75" customHeight="1"/>
    <row r="48" spans="1:5"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sheetData>
  <mergeCells count="5">
    <mergeCell ref="A2:D2"/>
    <mergeCell ref="A4:D4"/>
    <mergeCell ref="A3:D3"/>
    <mergeCell ref="A5:D5"/>
    <mergeCell ref="A6:D6"/>
  </mergeCells>
  <pageMargins left="0.75" right="0.75" top="1" bottom="1" header="0.5" footer="0.5"/>
  <headerFooter>
    <oddFooter>&amp;R_x000D_&amp;1#&amp;"Arial"&amp;7&amp;K000000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1B810-C90E-0147-A716-079BB2984D0A}">
  <dimension ref="A1:I116"/>
  <sheetViews>
    <sheetView showRuler="0" topLeftCell="A25" workbookViewId="0">
      <selection activeCell="A6" sqref="A6:I6"/>
    </sheetView>
  </sheetViews>
  <sheetFormatPr baseColWidth="10" defaultColWidth="13" defaultRowHeight="13"/>
  <cols>
    <col min="1" max="1" width="51.6640625" style="11" customWidth="1"/>
    <col min="2" max="4" width="15.5" style="11" customWidth="1"/>
    <col min="5" max="5" width="21" style="11" customWidth="1"/>
    <col min="6" max="9" width="15.5" style="11" customWidth="1"/>
    <col min="10" max="26" width="20.1640625" style="11" customWidth="1"/>
    <col min="27" max="16384" width="13" style="11"/>
  </cols>
  <sheetData>
    <row r="1" spans="1:9" ht="22.5" customHeight="1">
      <c r="A1" s="27" t="s">
        <v>11</v>
      </c>
    </row>
    <row r="2" spans="1:9" ht="22.5" customHeight="1">
      <c r="A2" s="540" t="s">
        <v>12</v>
      </c>
      <c r="B2" s="541"/>
      <c r="C2" s="541"/>
      <c r="D2" s="541"/>
      <c r="E2" s="541"/>
      <c r="F2" s="541"/>
      <c r="G2" s="541"/>
      <c r="H2" s="541"/>
      <c r="I2" s="541"/>
    </row>
    <row r="3" spans="1:9" ht="16.75" customHeight="1">
      <c r="A3" s="541"/>
      <c r="B3" s="541"/>
      <c r="C3" s="541"/>
      <c r="D3" s="541"/>
      <c r="E3" s="541"/>
      <c r="F3" s="541"/>
      <c r="G3" s="541"/>
      <c r="H3" s="541"/>
      <c r="I3" s="541"/>
    </row>
    <row r="4" spans="1:9" ht="13.25" customHeight="1">
      <c r="A4" s="546" t="s">
        <v>13</v>
      </c>
      <c r="B4" s="541"/>
      <c r="C4" s="541"/>
      <c r="D4" s="541"/>
      <c r="E4" s="541"/>
      <c r="F4" s="541"/>
      <c r="G4" s="541"/>
      <c r="H4" s="541"/>
      <c r="I4" s="541"/>
    </row>
    <row r="5" spans="1:9" ht="16.75" customHeight="1">
      <c r="A5" s="541"/>
      <c r="B5" s="541"/>
      <c r="C5" s="541"/>
    </row>
    <row r="6" spans="1:9" ht="14.25" customHeight="1">
      <c r="A6" s="545" t="s">
        <v>32</v>
      </c>
      <c r="B6" s="541"/>
      <c r="C6" s="541"/>
      <c r="D6" s="541"/>
      <c r="E6" s="541"/>
      <c r="F6" s="541"/>
      <c r="G6" s="541"/>
      <c r="H6" s="541"/>
      <c r="I6" s="541"/>
    </row>
    <row r="7" spans="1:9" ht="16.75" customHeight="1">
      <c r="A7" s="26"/>
      <c r="B7" s="26"/>
      <c r="C7" s="26"/>
      <c r="D7" s="26"/>
      <c r="E7" s="26"/>
      <c r="F7" s="26"/>
      <c r="G7" s="26"/>
      <c r="H7" s="26"/>
      <c r="I7" s="26"/>
    </row>
    <row r="8" spans="1:9" ht="22.5" customHeight="1">
      <c r="A8"/>
      <c r="B8" s="547" t="s">
        <v>33</v>
      </c>
      <c r="C8" s="548"/>
      <c r="D8"/>
      <c r="E8"/>
      <c r="F8"/>
      <c r="G8"/>
      <c r="H8"/>
      <c r="I8"/>
    </row>
    <row r="9" spans="1:9" ht="13.25" customHeight="1">
      <c r="A9" s="43" t="s">
        <v>34</v>
      </c>
      <c r="B9" s="44" t="s">
        <v>35</v>
      </c>
      <c r="C9" s="44" t="s">
        <v>36</v>
      </c>
      <c r="D9" s="44" t="s">
        <v>37</v>
      </c>
      <c r="E9" s="44" t="s">
        <v>38</v>
      </c>
      <c r="F9" s="44" t="s">
        <v>8</v>
      </c>
      <c r="G9" s="44" t="s">
        <v>39</v>
      </c>
      <c r="H9" s="44" t="s">
        <v>2</v>
      </c>
      <c r="I9" s="44" t="s">
        <v>40</v>
      </c>
    </row>
    <row r="10" spans="1:9" ht="16.75" customHeight="1">
      <c r="A10" s="45" t="s">
        <v>41</v>
      </c>
      <c r="B10" s="46">
        <v>402.6</v>
      </c>
      <c r="C10" s="46">
        <v>36.5</v>
      </c>
      <c r="D10" s="46">
        <v>4369.3999999999996</v>
      </c>
      <c r="E10" s="46">
        <v>-2422.8000000000002</v>
      </c>
      <c r="F10" s="46">
        <v>1663</v>
      </c>
      <c r="G10" s="46">
        <v>2063.1</v>
      </c>
      <c r="H10" s="46">
        <v>6134.6</v>
      </c>
      <c r="I10" s="46">
        <v>11843.8</v>
      </c>
    </row>
    <row r="11" spans="1:9" ht="16.75" customHeight="1">
      <c r="A11" s="47" t="s">
        <v>42</v>
      </c>
      <c r="B11" s="40">
        <v>0</v>
      </c>
      <c r="C11" s="40">
        <v>0</v>
      </c>
      <c r="D11" s="40">
        <v>0</v>
      </c>
      <c r="E11" s="40">
        <v>0</v>
      </c>
      <c r="F11" s="40">
        <v>6134.6</v>
      </c>
      <c r="G11" s="40">
        <v>0</v>
      </c>
      <c r="H11" s="40">
        <v>-6134.6</v>
      </c>
      <c r="I11" s="48">
        <v>0</v>
      </c>
    </row>
    <row r="12" spans="1:9" ht="16.75" customHeight="1">
      <c r="A12"/>
      <c r="B12"/>
      <c r="C12"/>
      <c r="D12"/>
      <c r="E12"/>
      <c r="F12"/>
      <c r="G12"/>
      <c r="H12"/>
      <c r="I12"/>
    </row>
    <row r="13" spans="1:9" ht="16.75" customHeight="1">
      <c r="A13" s="47" t="s">
        <v>43</v>
      </c>
      <c r="B13"/>
      <c r="C13"/>
      <c r="D13"/>
      <c r="E13"/>
      <c r="F13"/>
      <c r="G13"/>
      <c r="H13"/>
      <c r="I13"/>
    </row>
    <row r="14" spans="1:9" ht="16.75" customHeight="1">
      <c r="A14" s="49" t="s">
        <v>20</v>
      </c>
      <c r="B14" s="40">
        <v>0</v>
      </c>
      <c r="C14" s="40">
        <v>0</v>
      </c>
      <c r="D14" s="40">
        <v>0</v>
      </c>
      <c r="E14" s="40">
        <v>0</v>
      </c>
      <c r="F14" s="40">
        <v>0</v>
      </c>
      <c r="G14" s="40">
        <v>0</v>
      </c>
      <c r="H14" s="40">
        <v>6395.8</v>
      </c>
      <c r="I14" s="48">
        <v>6395.8</v>
      </c>
    </row>
    <row r="15" spans="1:9" ht="16.75" customHeight="1">
      <c r="A15" s="49" t="s">
        <v>22</v>
      </c>
      <c r="B15" s="40">
        <v>0</v>
      </c>
      <c r="C15" s="40">
        <v>0</v>
      </c>
      <c r="D15" s="40">
        <v>0</v>
      </c>
      <c r="E15" s="40">
        <v>0</v>
      </c>
      <c r="F15" s="40">
        <v>0</v>
      </c>
      <c r="G15" s="40">
        <v>37.700000000000003</v>
      </c>
      <c r="H15" s="40">
        <v>0</v>
      </c>
      <c r="I15" s="48">
        <v>37.700000000000003</v>
      </c>
    </row>
    <row r="16" spans="1:9" ht="16.75" customHeight="1">
      <c r="A16" s="49" t="s">
        <v>24</v>
      </c>
      <c r="B16" s="40">
        <v>0</v>
      </c>
      <c r="C16" s="40">
        <v>0</v>
      </c>
      <c r="D16" s="40">
        <v>0</v>
      </c>
      <c r="E16" s="40">
        <v>0</v>
      </c>
      <c r="F16" s="40">
        <v>0</v>
      </c>
      <c r="G16" s="40">
        <v>68.900000000000006</v>
      </c>
      <c r="H16" s="40">
        <v>0</v>
      </c>
      <c r="I16" s="48">
        <v>68.900000000000006</v>
      </c>
    </row>
    <row r="17" spans="1:9" ht="16.75" customHeight="1">
      <c r="A17" s="49" t="s">
        <v>44</v>
      </c>
      <c r="B17" s="40">
        <v>0</v>
      </c>
      <c r="C17" s="40">
        <v>0</v>
      </c>
      <c r="D17" s="40">
        <v>0</v>
      </c>
      <c r="E17" s="40">
        <v>0</v>
      </c>
      <c r="F17" s="40">
        <v>0</v>
      </c>
      <c r="G17" s="40">
        <v>-8.9</v>
      </c>
      <c r="H17" s="40">
        <v>0</v>
      </c>
      <c r="I17" s="48">
        <v>-8.9</v>
      </c>
    </row>
    <row r="18" spans="1:9" ht="16.75" customHeight="1">
      <c r="A18" s="47" t="s">
        <v>45</v>
      </c>
      <c r="B18" s="40">
        <v>0</v>
      </c>
      <c r="C18" s="40">
        <v>0</v>
      </c>
      <c r="D18" s="40">
        <v>0</v>
      </c>
      <c r="E18" s="40">
        <v>0</v>
      </c>
      <c r="F18" s="40">
        <v>0</v>
      </c>
      <c r="G18" s="40">
        <v>97.7</v>
      </c>
      <c r="H18" s="40">
        <v>6395.8</v>
      </c>
      <c r="I18" s="48">
        <v>6493.5</v>
      </c>
    </row>
    <row r="19" spans="1:9" ht="16.75" customHeight="1">
      <c r="A19"/>
      <c r="B19"/>
      <c r="C19"/>
      <c r="D19"/>
      <c r="E19"/>
      <c r="F19"/>
      <c r="G19"/>
      <c r="H19"/>
      <c r="I19"/>
    </row>
    <row r="20" spans="1:9" ht="16.75" customHeight="1">
      <c r="A20" s="49" t="s">
        <v>46</v>
      </c>
      <c r="B20" s="40">
        <v>-8.5</v>
      </c>
      <c r="C20" s="40">
        <v>0</v>
      </c>
      <c r="D20" s="40">
        <v>0</v>
      </c>
      <c r="E20" s="40">
        <v>-4639.7</v>
      </c>
      <c r="F20" s="40">
        <v>0</v>
      </c>
      <c r="G20" s="40">
        <v>0</v>
      </c>
      <c r="H20" s="40">
        <v>0</v>
      </c>
      <c r="I20" s="48">
        <v>-4639.7</v>
      </c>
    </row>
    <row r="21" spans="1:9" ht="16.75" customHeight="1">
      <c r="A21" s="49" t="s">
        <v>47</v>
      </c>
      <c r="B21" s="40">
        <v>0</v>
      </c>
      <c r="C21" s="40">
        <v>-0.3</v>
      </c>
      <c r="D21" s="40">
        <v>0</v>
      </c>
      <c r="E21" s="40">
        <v>2333.6999999999998</v>
      </c>
      <c r="F21" s="40">
        <v>-2333.4</v>
      </c>
      <c r="G21" s="40">
        <v>0</v>
      </c>
      <c r="H21" s="40">
        <v>0</v>
      </c>
      <c r="I21" s="48">
        <v>0</v>
      </c>
    </row>
    <row r="22" spans="1:9" ht="16.75" customHeight="1">
      <c r="A22" s="49" t="s">
        <v>48</v>
      </c>
      <c r="B22" s="40">
        <v>0</v>
      </c>
      <c r="C22" s="40">
        <v>0</v>
      </c>
      <c r="D22" s="40">
        <v>66.400000000000006</v>
      </c>
      <c r="E22" s="40">
        <v>0</v>
      </c>
      <c r="F22" s="40">
        <v>0</v>
      </c>
      <c r="G22" s="40">
        <v>0</v>
      </c>
      <c r="H22" s="40">
        <v>0</v>
      </c>
      <c r="I22" s="48">
        <v>66.400000000000006</v>
      </c>
    </row>
    <row r="23" spans="1:9" ht="16.75" customHeight="1">
      <c r="A23" s="49" t="s">
        <v>49</v>
      </c>
      <c r="B23" s="40">
        <v>0.5</v>
      </c>
      <c r="C23" s="40">
        <v>0.1</v>
      </c>
      <c r="D23" s="40">
        <v>-4.2</v>
      </c>
      <c r="E23" s="40">
        <v>87.5</v>
      </c>
      <c r="F23" s="40">
        <v>-1.6</v>
      </c>
      <c r="G23" s="40">
        <v>0</v>
      </c>
      <c r="H23" s="40">
        <v>0</v>
      </c>
      <c r="I23" s="48">
        <v>81.8</v>
      </c>
    </row>
    <row r="24" spans="1:9" ht="16.75" customHeight="1">
      <c r="A24" s="49" t="s">
        <v>50</v>
      </c>
      <c r="B24" s="40">
        <v>0</v>
      </c>
      <c r="C24" s="40">
        <v>0</v>
      </c>
      <c r="D24" s="40">
        <v>0</v>
      </c>
      <c r="E24" s="40">
        <v>0</v>
      </c>
      <c r="F24" s="40">
        <v>-2559.8000000000002</v>
      </c>
      <c r="G24" s="40">
        <v>0</v>
      </c>
      <c r="H24" s="40">
        <v>0</v>
      </c>
      <c r="I24" s="48">
        <v>-2559.8000000000002</v>
      </c>
    </row>
    <row r="25" spans="1:9" ht="16.75" customHeight="1">
      <c r="A25" s="50" t="s">
        <v>51</v>
      </c>
      <c r="B25" s="41">
        <v>0</v>
      </c>
      <c r="C25" s="41">
        <v>0</v>
      </c>
      <c r="D25" s="41">
        <v>0</v>
      </c>
      <c r="E25" s="41">
        <v>0</v>
      </c>
      <c r="F25" s="41">
        <v>-600.9</v>
      </c>
      <c r="G25" s="41">
        <v>600.9</v>
      </c>
      <c r="H25" s="41">
        <v>0</v>
      </c>
      <c r="I25" s="51">
        <v>0</v>
      </c>
    </row>
    <row r="26" spans="1:9" ht="16.75" customHeight="1">
      <c r="A26" s="45" t="s">
        <v>52</v>
      </c>
      <c r="B26" s="46">
        <v>394.6</v>
      </c>
      <c r="C26" s="46">
        <v>36.299999999999997</v>
      </c>
      <c r="D26" s="46">
        <v>4431.6000000000004</v>
      </c>
      <c r="E26" s="46">
        <v>-4641.3</v>
      </c>
      <c r="F26" s="46">
        <v>2301.9</v>
      </c>
      <c r="G26" s="46">
        <v>2761.7</v>
      </c>
      <c r="H26" s="46">
        <v>6395.8</v>
      </c>
      <c r="I26" s="46">
        <v>11286</v>
      </c>
    </row>
    <row r="27" spans="1:9" ht="16.75" customHeight="1">
      <c r="A27" s="47" t="s">
        <v>53</v>
      </c>
      <c r="B27" s="40">
        <v>0</v>
      </c>
      <c r="C27" s="40">
        <v>0</v>
      </c>
      <c r="D27" s="40">
        <v>0</v>
      </c>
      <c r="E27" s="40">
        <v>0</v>
      </c>
      <c r="F27" s="40">
        <v>6395.8</v>
      </c>
      <c r="G27" s="40">
        <v>0</v>
      </c>
      <c r="H27" s="40">
        <v>-6395.8</v>
      </c>
      <c r="I27" s="48">
        <v>0</v>
      </c>
    </row>
    <row r="28" spans="1:9" ht="16.75" customHeight="1">
      <c r="A28"/>
      <c r="B28"/>
      <c r="C28"/>
      <c r="D28"/>
      <c r="E28"/>
      <c r="F28"/>
      <c r="G28"/>
      <c r="H28"/>
      <c r="I28"/>
    </row>
    <row r="29" spans="1:9" ht="16.75" customHeight="1">
      <c r="A29" s="47" t="s">
        <v>43</v>
      </c>
      <c r="B29"/>
      <c r="C29"/>
      <c r="D29"/>
      <c r="E29"/>
      <c r="F29"/>
      <c r="G29"/>
      <c r="H29"/>
      <c r="I29"/>
    </row>
    <row r="30" spans="1:9" ht="16.75" customHeight="1">
      <c r="A30" s="49" t="s">
        <v>20</v>
      </c>
      <c r="B30" s="40">
        <v>0</v>
      </c>
      <c r="C30" s="40">
        <v>0</v>
      </c>
      <c r="D30" s="40">
        <v>0</v>
      </c>
      <c r="E30" s="40">
        <v>0</v>
      </c>
      <c r="F30" s="40">
        <v>0</v>
      </c>
      <c r="G30" s="40">
        <v>0</v>
      </c>
      <c r="H30" s="40">
        <v>8115.2</v>
      </c>
      <c r="I30" s="48">
        <v>8115.2</v>
      </c>
    </row>
    <row r="31" spans="1:9" ht="16.75" customHeight="1">
      <c r="A31" s="49" t="s">
        <v>22</v>
      </c>
      <c r="B31" s="40">
        <v>0</v>
      </c>
      <c r="C31" s="40">
        <v>0</v>
      </c>
      <c r="D31" s="40">
        <v>0</v>
      </c>
      <c r="E31" s="40">
        <v>0</v>
      </c>
      <c r="F31" s="40">
        <v>0</v>
      </c>
      <c r="G31" s="40">
        <v>0.2</v>
      </c>
      <c r="H31" s="40">
        <v>0</v>
      </c>
      <c r="I31" s="48">
        <v>0.2</v>
      </c>
    </row>
    <row r="32" spans="1:9" ht="16.75" customHeight="1">
      <c r="A32" s="49" t="s">
        <v>24</v>
      </c>
      <c r="B32" s="40">
        <v>0</v>
      </c>
      <c r="C32" s="40">
        <v>0</v>
      </c>
      <c r="D32" s="40">
        <v>0</v>
      </c>
      <c r="E32" s="40">
        <v>0</v>
      </c>
      <c r="F32" s="40">
        <v>0</v>
      </c>
      <c r="G32" s="40">
        <v>-67.599999999999994</v>
      </c>
      <c r="H32" s="40">
        <v>0</v>
      </c>
      <c r="I32" s="48">
        <v>-67.599999999999994</v>
      </c>
    </row>
    <row r="33" spans="1:9" ht="16.75" customHeight="1">
      <c r="A33" s="49" t="s">
        <v>54</v>
      </c>
      <c r="B33" s="40">
        <v>0</v>
      </c>
      <c r="C33" s="40">
        <v>0</v>
      </c>
      <c r="D33" s="40">
        <v>0</v>
      </c>
      <c r="E33" s="40">
        <v>0</v>
      </c>
      <c r="F33" s="40">
        <v>0</v>
      </c>
      <c r="G33" s="40">
        <v>-15.2</v>
      </c>
      <c r="H33" s="40">
        <v>0</v>
      </c>
      <c r="I33" s="48">
        <v>-15.2</v>
      </c>
    </row>
    <row r="34" spans="1:9" ht="16.75" customHeight="1">
      <c r="A34" s="47" t="s">
        <v>45</v>
      </c>
      <c r="B34" s="40">
        <v>0</v>
      </c>
      <c r="C34" s="40">
        <v>0</v>
      </c>
      <c r="D34" s="40">
        <v>0</v>
      </c>
      <c r="E34" s="40">
        <v>0</v>
      </c>
      <c r="F34" s="40">
        <v>0</v>
      </c>
      <c r="G34" s="40">
        <v>-82.6</v>
      </c>
      <c r="H34" s="40">
        <v>8115.2</v>
      </c>
      <c r="I34" s="48">
        <v>8032.6</v>
      </c>
    </row>
    <row r="35" spans="1:9" ht="16.75" customHeight="1">
      <c r="A35"/>
      <c r="B35"/>
      <c r="C35"/>
      <c r="D35"/>
      <c r="E35"/>
      <c r="F35"/>
      <c r="G35"/>
      <c r="H35"/>
      <c r="I35"/>
    </row>
    <row r="36" spans="1:9" ht="16.75" customHeight="1">
      <c r="A36" s="49" t="s">
        <v>46</v>
      </c>
      <c r="B36" s="40">
        <v>-1.6</v>
      </c>
      <c r="C36" s="40">
        <v>0</v>
      </c>
      <c r="D36" s="40">
        <v>0</v>
      </c>
      <c r="E36" s="40">
        <v>-1000</v>
      </c>
      <c r="F36" s="40">
        <v>0</v>
      </c>
      <c r="G36" s="40">
        <v>0</v>
      </c>
      <c r="H36" s="40">
        <v>0</v>
      </c>
      <c r="I36" s="48">
        <v>-1000</v>
      </c>
    </row>
    <row r="37" spans="1:9" ht="16.75" customHeight="1">
      <c r="A37" s="49" t="s">
        <v>47</v>
      </c>
      <c r="B37" s="40">
        <v>0</v>
      </c>
      <c r="C37" s="40">
        <v>-0.3</v>
      </c>
      <c r="D37" s="40">
        <v>0</v>
      </c>
      <c r="E37" s="40">
        <v>2105.1</v>
      </c>
      <c r="F37" s="40">
        <v>-2104.8000000000002</v>
      </c>
      <c r="G37" s="40">
        <v>0</v>
      </c>
      <c r="H37" s="40">
        <v>0</v>
      </c>
      <c r="I37" s="48">
        <v>0</v>
      </c>
    </row>
    <row r="38" spans="1:9" ht="16.75" customHeight="1">
      <c r="A38" s="49" t="s">
        <v>48</v>
      </c>
      <c r="B38" s="40">
        <v>0</v>
      </c>
      <c r="C38" s="40">
        <v>0</v>
      </c>
      <c r="D38" s="40">
        <v>139.80000000000001</v>
      </c>
      <c r="E38" s="40">
        <v>0</v>
      </c>
      <c r="F38" s="40">
        <v>0</v>
      </c>
      <c r="G38" s="40">
        <v>0</v>
      </c>
      <c r="H38" s="40">
        <v>0</v>
      </c>
      <c r="I38" s="48">
        <v>139.80000000000001</v>
      </c>
    </row>
    <row r="39" spans="1:9" ht="16.75" customHeight="1">
      <c r="A39" s="49" t="s">
        <v>49</v>
      </c>
      <c r="B39" s="40">
        <v>0.5</v>
      </c>
      <c r="C39" s="40">
        <v>0</v>
      </c>
      <c r="D39" s="40">
        <v>-77.5</v>
      </c>
      <c r="E39" s="40">
        <v>230</v>
      </c>
      <c r="F39" s="40">
        <v>-53.1</v>
      </c>
      <c r="G39" s="40">
        <v>0</v>
      </c>
      <c r="H39" s="40">
        <v>0</v>
      </c>
      <c r="I39" s="48">
        <v>99.4</v>
      </c>
    </row>
    <row r="40" spans="1:9" ht="16.75" customHeight="1">
      <c r="A40" s="49" t="s">
        <v>50</v>
      </c>
      <c r="B40" s="40">
        <v>0</v>
      </c>
      <c r="C40" s="40">
        <v>0</v>
      </c>
      <c r="D40" s="40">
        <v>0</v>
      </c>
      <c r="E40" s="40">
        <v>0</v>
      </c>
      <c r="F40" s="40">
        <v>-2348.3000000000002</v>
      </c>
      <c r="G40" s="40">
        <v>0</v>
      </c>
      <c r="H40" s="40">
        <v>0</v>
      </c>
      <c r="I40" s="48">
        <v>-2348.3000000000002</v>
      </c>
    </row>
    <row r="41" spans="1:9" ht="16.75" customHeight="1">
      <c r="A41" s="50" t="s">
        <v>51</v>
      </c>
      <c r="B41" s="41">
        <v>0</v>
      </c>
      <c r="C41" s="41">
        <v>0</v>
      </c>
      <c r="D41" s="41">
        <v>0</v>
      </c>
      <c r="E41" s="41">
        <v>0</v>
      </c>
      <c r="F41" s="41">
        <v>-689.1</v>
      </c>
      <c r="G41" s="41">
        <v>689.1</v>
      </c>
      <c r="H41" s="41">
        <v>0</v>
      </c>
      <c r="I41" s="51">
        <v>0</v>
      </c>
    </row>
    <row r="42" spans="1:9" ht="16.75" customHeight="1">
      <c r="A42" s="19" t="s">
        <v>55</v>
      </c>
      <c r="B42" s="17">
        <v>394.6</v>
      </c>
      <c r="C42" s="17">
        <v>36.299999999999997</v>
      </c>
      <c r="D42" s="17">
        <v>4431.6000000000004</v>
      </c>
      <c r="E42" s="17">
        <v>-4641.3</v>
      </c>
      <c r="F42" s="17">
        <v>2301.9</v>
      </c>
      <c r="G42" s="17">
        <v>2761.7</v>
      </c>
      <c r="H42" s="17">
        <v>6395.8</v>
      </c>
      <c r="I42" s="17">
        <v>11286</v>
      </c>
    </row>
    <row r="43" spans="1:9" ht="16.75" customHeight="1">
      <c r="A43" s="28" t="s">
        <v>42</v>
      </c>
      <c r="B43" s="13">
        <v>0</v>
      </c>
      <c r="C43" s="13">
        <v>0</v>
      </c>
      <c r="D43" s="13">
        <v>0</v>
      </c>
      <c r="E43" s="13">
        <v>0</v>
      </c>
      <c r="F43" s="13">
        <v>6395.8</v>
      </c>
      <c r="G43" s="13">
        <v>0</v>
      </c>
      <c r="H43" s="13">
        <v>-6395.8</v>
      </c>
      <c r="I43" s="12">
        <v>0</v>
      </c>
    </row>
    <row r="44" spans="1:9" ht="16.75" customHeight="1"/>
    <row r="45" spans="1:9" ht="16.75" customHeight="1">
      <c r="A45" s="28" t="s">
        <v>43</v>
      </c>
    </row>
    <row r="46" spans="1:9" ht="16.75" customHeight="1">
      <c r="A46" s="14" t="s">
        <v>20</v>
      </c>
      <c r="B46" s="13">
        <v>0</v>
      </c>
      <c r="C46" s="13">
        <v>0</v>
      </c>
      <c r="D46" s="13">
        <v>0</v>
      </c>
      <c r="E46" s="13">
        <v>0</v>
      </c>
      <c r="F46" s="13">
        <v>0</v>
      </c>
      <c r="G46" s="13">
        <v>0</v>
      </c>
      <c r="H46" s="13">
        <v>8115.2</v>
      </c>
      <c r="I46" s="12">
        <v>8115.2</v>
      </c>
    </row>
    <row r="47" spans="1:9" ht="16.75" customHeight="1">
      <c r="A47" s="14" t="s">
        <v>22</v>
      </c>
      <c r="B47" s="13">
        <v>0</v>
      </c>
      <c r="C47" s="13">
        <v>0</v>
      </c>
      <c r="D47" s="13">
        <v>0</v>
      </c>
      <c r="E47" s="13">
        <v>0</v>
      </c>
      <c r="F47" s="13">
        <v>0</v>
      </c>
      <c r="G47" s="13">
        <v>0.2</v>
      </c>
      <c r="H47" s="13">
        <v>0</v>
      </c>
      <c r="I47" s="12">
        <v>0.2</v>
      </c>
    </row>
    <row r="48" spans="1:9" ht="16.75" customHeight="1">
      <c r="A48" s="14" t="s">
        <v>26</v>
      </c>
      <c r="B48" s="13">
        <v>0</v>
      </c>
      <c r="C48" s="13">
        <v>0</v>
      </c>
      <c r="D48" s="13">
        <v>0</v>
      </c>
      <c r="E48" s="13">
        <v>0</v>
      </c>
      <c r="F48" s="13">
        <v>0</v>
      </c>
      <c r="G48" s="13">
        <v>0</v>
      </c>
      <c r="H48" s="13">
        <v>0</v>
      </c>
      <c r="I48" s="12">
        <v>0</v>
      </c>
    </row>
    <row r="49" spans="1:9" ht="16.75" customHeight="1">
      <c r="A49" s="14" t="s">
        <v>24</v>
      </c>
      <c r="B49" s="13">
        <v>0</v>
      </c>
      <c r="C49" s="13">
        <v>0</v>
      </c>
      <c r="D49" s="13">
        <v>0</v>
      </c>
      <c r="E49" s="13">
        <v>0</v>
      </c>
      <c r="F49" s="13">
        <v>0</v>
      </c>
      <c r="G49" s="13">
        <v>-67.599999999999994</v>
      </c>
      <c r="H49" s="13">
        <v>0</v>
      </c>
      <c r="I49" s="12">
        <v>-67.599999999999994</v>
      </c>
    </row>
    <row r="50" spans="1:9" ht="16.75" customHeight="1">
      <c r="A50" s="14" t="s">
        <v>44</v>
      </c>
      <c r="B50" s="13">
        <v>0</v>
      </c>
      <c r="C50" s="13">
        <v>0</v>
      </c>
      <c r="D50" s="13">
        <v>0</v>
      </c>
      <c r="E50" s="13">
        <v>0</v>
      </c>
      <c r="F50" s="13">
        <v>0</v>
      </c>
      <c r="G50" s="13">
        <v>-15.2</v>
      </c>
      <c r="H50" s="13">
        <v>0</v>
      </c>
      <c r="I50" s="12">
        <v>-15.2</v>
      </c>
    </row>
    <row r="51" spans="1:9" ht="16.75" customHeight="1">
      <c r="A51" s="28" t="s">
        <v>45</v>
      </c>
      <c r="B51" s="13">
        <v>0</v>
      </c>
      <c r="C51" s="13">
        <v>0</v>
      </c>
      <c r="D51" s="13">
        <v>0</v>
      </c>
      <c r="E51" s="13">
        <v>0</v>
      </c>
      <c r="F51" s="13">
        <v>0</v>
      </c>
      <c r="G51" s="13">
        <v>-82.6</v>
      </c>
      <c r="H51" s="13">
        <v>8115.2</v>
      </c>
      <c r="I51" s="12">
        <v>8032.6</v>
      </c>
    </row>
    <row r="52" spans="1:9" ht="16.75" customHeight="1"/>
    <row r="53" spans="1:9" ht="16.75" customHeight="1">
      <c r="A53" s="14" t="s">
        <v>46</v>
      </c>
      <c r="B53" s="13">
        <v>-1.6</v>
      </c>
      <c r="C53" s="13">
        <v>0</v>
      </c>
      <c r="D53" s="13">
        <v>0</v>
      </c>
      <c r="E53" s="13">
        <v>-1000</v>
      </c>
      <c r="F53" s="13">
        <v>0</v>
      </c>
      <c r="G53" s="13">
        <v>0</v>
      </c>
      <c r="H53" s="13">
        <v>0</v>
      </c>
      <c r="I53" s="12">
        <v>-1000</v>
      </c>
    </row>
    <row r="54" spans="1:9" ht="16.75" customHeight="1">
      <c r="A54" s="14" t="s">
        <v>47</v>
      </c>
      <c r="B54" s="13">
        <v>0</v>
      </c>
      <c r="C54" s="13">
        <v>-0.3</v>
      </c>
      <c r="D54" s="13">
        <v>0</v>
      </c>
      <c r="E54" s="13">
        <v>2105.1</v>
      </c>
      <c r="F54" s="13">
        <v>-2104.8000000000002</v>
      </c>
      <c r="G54" s="13">
        <v>0</v>
      </c>
      <c r="H54" s="13">
        <v>0</v>
      </c>
      <c r="I54" s="12">
        <v>0</v>
      </c>
    </row>
    <row r="55" spans="1:9" ht="16.75" customHeight="1">
      <c r="A55" s="14" t="s">
        <v>48</v>
      </c>
      <c r="B55" s="13">
        <v>0</v>
      </c>
      <c r="C55" s="13">
        <v>0</v>
      </c>
      <c r="D55" s="13">
        <v>139.80000000000001</v>
      </c>
      <c r="E55" s="13">
        <v>0</v>
      </c>
      <c r="F55" s="13">
        <v>0</v>
      </c>
      <c r="G55" s="13">
        <v>0</v>
      </c>
      <c r="H55" s="13">
        <v>0</v>
      </c>
      <c r="I55" s="12">
        <v>139.80000000000001</v>
      </c>
    </row>
    <row r="56" spans="1:9" ht="16.75" customHeight="1">
      <c r="A56" s="14" t="s">
        <v>49</v>
      </c>
      <c r="B56" s="13">
        <v>0.5</v>
      </c>
      <c r="C56" s="13">
        <v>0</v>
      </c>
      <c r="D56" s="13">
        <v>-77.5</v>
      </c>
      <c r="E56" s="13">
        <v>230</v>
      </c>
      <c r="F56" s="13">
        <v>-53.1</v>
      </c>
      <c r="G56" s="13">
        <v>0</v>
      </c>
      <c r="H56" s="13">
        <v>0</v>
      </c>
      <c r="I56" s="12">
        <v>99.4</v>
      </c>
    </row>
    <row r="57" spans="1:9" ht="16.75" customHeight="1">
      <c r="A57" s="14" t="s">
        <v>50</v>
      </c>
      <c r="B57" s="13">
        <v>0</v>
      </c>
      <c r="C57" s="13">
        <v>0</v>
      </c>
      <c r="D57" s="13">
        <v>0</v>
      </c>
      <c r="E57" s="13">
        <v>0</v>
      </c>
      <c r="F57" s="13">
        <v>-2348.3000000000002</v>
      </c>
      <c r="G57" s="13">
        <v>0</v>
      </c>
      <c r="H57" s="13">
        <v>0</v>
      </c>
      <c r="I57" s="12">
        <v>-2348.3000000000002</v>
      </c>
    </row>
    <row r="58" spans="1:9" ht="16.75" customHeight="1">
      <c r="A58" s="22" t="s">
        <v>51</v>
      </c>
      <c r="B58" s="21">
        <v>0</v>
      </c>
      <c r="C58" s="21">
        <v>0</v>
      </c>
      <c r="D58" s="21">
        <v>0</v>
      </c>
      <c r="E58" s="21">
        <v>0</v>
      </c>
      <c r="F58" s="21">
        <v>-689.1</v>
      </c>
      <c r="G58" s="21">
        <v>689.1</v>
      </c>
      <c r="H58" s="21">
        <v>0</v>
      </c>
      <c r="I58" s="20">
        <v>0</v>
      </c>
    </row>
    <row r="59" spans="1:9" ht="16.75" customHeight="1">
      <c r="A59" s="19" t="s">
        <v>56</v>
      </c>
      <c r="B59" s="17">
        <v>393.5</v>
      </c>
      <c r="C59" s="17">
        <v>36</v>
      </c>
      <c r="D59" s="17">
        <v>4493.8999999999996</v>
      </c>
      <c r="E59" s="17">
        <v>-3306.2</v>
      </c>
      <c r="F59" s="17">
        <v>3502.8</v>
      </c>
      <c r="G59" s="17">
        <v>3367.8</v>
      </c>
      <c r="H59" s="17">
        <v>8115.2</v>
      </c>
      <c r="I59" s="17">
        <v>16209.5</v>
      </c>
    </row>
    <row r="60" spans="1:9" ht="16.75" customHeight="1">
      <c r="A60" s="28" t="s">
        <v>53</v>
      </c>
      <c r="B60" s="13">
        <v>0</v>
      </c>
      <c r="C60" s="13">
        <v>0</v>
      </c>
      <c r="D60" s="13">
        <v>0</v>
      </c>
      <c r="E60" s="13">
        <v>0</v>
      </c>
      <c r="F60" s="13">
        <v>8115.2</v>
      </c>
      <c r="G60" s="13">
        <v>0</v>
      </c>
      <c r="H60" s="13">
        <v>-8115.2</v>
      </c>
      <c r="I60" s="12">
        <v>0</v>
      </c>
    </row>
    <row r="61" spans="1:9" ht="16.75" customHeight="1"/>
    <row r="62" spans="1:9" ht="16.75" customHeight="1">
      <c r="A62" s="28" t="s">
        <v>43</v>
      </c>
    </row>
    <row r="63" spans="1:9" ht="16.75" customHeight="1">
      <c r="A63" s="14" t="s">
        <v>20</v>
      </c>
      <c r="B63" s="13">
        <v>0</v>
      </c>
      <c r="C63" s="13">
        <v>0</v>
      </c>
      <c r="D63" s="13">
        <v>0</v>
      </c>
      <c r="E63" s="13">
        <v>0</v>
      </c>
      <c r="F63" s="13">
        <v>0</v>
      </c>
      <c r="G63" s="13">
        <v>0</v>
      </c>
      <c r="H63" s="13">
        <v>8349</v>
      </c>
      <c r="I63" s="12">
        <v>8349</v>
      </c>
    </row>
    <row r="64" spans="1:9" ht="16.75" customHeight="1">
      <c r="A64" s="14" t="s">
        <v>22</v>
      </c>
      <c r="B64" s="13">
        <v>0</v>
      </c>
      <c r="C64" s="13">
        <v>0</v>
      </c>
      <c r="D64" s="13">
        <v>0</v>
      </c>
      <c r="E64" s="13">
        <v>0</v>
      </c>
      <c r="F64" s="13">
        <v>0</v>
      </c>
      <c r="G64" s="13">
        <v>-12.1</v>
      </c>
      <c r="H64" s="13">
        <v>0</v>
      </c>
      <c r="I64" s="12">
        <v>-12.1</v>
      </c>
    </row>
    <row r="65" spans="1:9" ht="16.75" customHeight="1">
      <c r="A65" s="14" t="s">
        <v>26</v>
      </c>
      <c r="B65" s="13">
        <v>0</v>
      </c>
      <c r="C65" s="13">
        <v>0</v>
      </c>
      <c r="D65" s="13">
        <v>0</v>
      </c>
      <c r="E65" s="13">
        <v>0</v>
      </c>
      <c r="F65" s="13">
        <v>0</v>
      </c>
      <c r="G65" s="13">
        <v>0</v>
      </c>
      <c r="H65" s="13">
        <v>0</v>
      </c>
      <c r="I65" s="12">
        <v>0</v>
      </c>
    </row>
    <row r="66" spans="1:9" ht="16.75" customHeight="1">
      <c r="A66" s="14" t="s">
        <v>24</v>
      </c>
      <c r="B66" s="13">
        <v>0</v>
      </c>
      <c r="C66" s="13">
        <v>0</v>
      </c>
      <c r="D66" s="13">
        <v>0</v>
      </c>
      <c r="E66" s="13">
        <v>0</v>
      </c>
      <c r="F66" s="13">
        <v>0</v>
      </c>
      <c r="G66" s="13">
        <v>93</v>
      </c>
      <c r="H66" s="13">
        <v>0</v>
      </c>
      <c r="I66" s="12">
        <v>93</v>
      </c>
    </row>
    <row r="67" spans="1:9" ht="16.75" customHeight="1">
      <c r="A67" s="14" t="s">
        <v>54</v>
      </c>
      <c r="B67" s="13">
        <v>0</v>
      </c>
      <c r="C67" s="13">
        <v>0</v>
      </c>
      <c r="D67" s="13">
        <v>0</v>
      </c>
      <c r="E67" s="13">
        <v>0</v>
      </c>
      <c r="F67" s="13">
        <v>0</v>
      </c>
      <c r="G67" s="13">
        <v>29.3</v>
      </c>
      <c r="H67" s="13">
        <v>0</v>
      </c>
      <c r="I67" s="12">
        <v>29.3</v>
      </c>
    </row>
    <row r="68" spans="1:9" ht="16.75" customHeight="1">
      <c r="A68" s="28" t="s">
        <v>45</v>
      </c>
      <c r="B68" s="13">
        <v>0</v>
      </c>
      <c r="C68" s="13">
        <v>0</v>
      </c>
      <c r="D68" s="13">
        <v>0</v>
      </c>
      <c r="E68" s="13">
        <v>0</v>
      </c>
      <c r="F68" s="13">
        <v>0</v>
      </c>
      <c r="G68" s="13">
        <v>110.2</v>
      </c>
      <c r="H68" s="13">
        <v>8349</v>
      </c>
      <c r="I68" s="12">
        <v>8459.2000000000007</v>
      </c>
    </row>
    <row r="69" spans="1:9" ht="16.75" customHeight="1"/>
    <row r="70" spans="1:9" ht="16.75" customHeight="1">
      <c r="A70" s="14" t="s">
        <v>46</v>
      </c>
      <c r="B70" s="13">
        <v>-0.6</v>
      </c>
      <c r="C70" s="13">
        <v>-0.1</v>
      </c>
      <c r="D70" s="13">
        <v>0</v>
      </c>
      <c r="E70" s="13">
        <v>-499.9</v>
      </c>
      <c r="F70" s="13">
        <v>0</v>
      </c>
      <c r="G70" s="13">
        <v>0</v>
      </c>
      <c r="H70" s="13">
        <v>0</v>
      </c>
      <c r="I70" s="12">
        <v>-500</v>
      </c>
    </row>
    <row r="71" spans="1:9" ht="16.75" customHeight="1">
      <c r="A71" s="14" t="s">
        <v>47</v>
      </c>
      <c r="B71" s="13">
        <v>0</v>
      </c>
      <c r="C71" s="13">
        <v>-0.5</v>
      </c>
      <c r="D71" s="13">
        <v>0</v>
      </c>
      <c r="E71" s="13">
        <v>3050.4</v>
      </c>
      <c r="F71" s="13">
        <v>-3049.9</v>
      </c>
      <c r="G71" s="13">
        <v>0</v>
      </c>
      <c r="H71" s="13">
        <v>0</v>
      </c>
      <c r="I71" s="12">
        <v>0</v>
      </c>
    </row>
    <row r="72" spans="1:9" ht="16.75" customHeight="1">
      <c r="A72" s="14" t="s">
        <v>48</v>
      </c>
      <c r="B72" s="13">
        <v>0</v>
      </c>
      <c r="C72" s="13">
        <v>0</v>
      </c>
      <c r="D72" s="13">
        <v>182.1</v>
      </c>
      <c r="E72" s="13">
        <v>0</v>
      </c>
      <c r="F72" s="13">
        <v>0</v>
      </c>
      <c r="G72" s="13">
        <v>0</v>
      </c>
      <c r="H72" s="13">
        <v>0</v>
      </c>
      <c r="I72" s="12">
        <v>182.1</v>
      </c>
    </row>
    <row r="73" spans="1:9" ht="16.75" customHeight="1">
      <c r="A73" s="14" t="s">
        <v>49</v>
      </c>
      <c r="B73" s="13">
        <v>0.4</v>
      </c>
      <c r="C73" s="13">
        <v>0</v>
      </c>
      <c r="D73" s="13">
        <v>-121.7</v>
      </c>
      <c r="E73" s="13">
        <v>279.7</v>
      </c>
      <c r="F73" s="13">
        <v>-34</v>
      </c>
      <c r="G73" s="13">
        <v>0</v>
      </c>
      <c r="H73" s="13">
        <v>0</v>
      </c>
      <c r="I73" s="12">
        <v>124</v>
      </c>
    </row>
    <row r="74" spans="1:9" ht="16.75" customHeight="1">
      <c r="A74" s="14" t="s">
        <v>50</v>
      </c>
      <c r="B74" s="13">
        <v>0</v>
      </c>
      <c r="C74" s="13">
        <v>0</v>
      </c>
      <c r="D74" s="13">
        <v>0</v>
      </c>
      <c r="E74" s="13">
        <v>0</v>
      </c>
      <c r="F74" s="13">
        <v>-2452.9</v>
      </c>
      <c r="G74" s="13">
        <v>0</v>
      </c>
      <c r="H74" s="13">
        <v>0</v>
      </c>
      <c r="I74" s="12">
        <v>-2452.9</v>
      </c>
    </row>
    <row r="75" spans="1:9" ht="16.75" customHeight="1">
      <c r="A75" s="22" t="s">
        <v>51</v>
      </c>
      <c r="B75" s="21">
        <v>0</v>
      </c>
      <c r="C75" s="21">
        <v>0</v>
      </c>
      <c r="D75" s="21">
        <v>0</v>
      </c>
      <c r="E75" s="21">
        <v>0</v>
      </c>
      <c r="F75" s="21">
        <v>-914.6</v>
      </c>
      <c r="G75" s="21">
        <v>914.6</v>
      </c>
      <c r="H75" s="21">
        <v>0</v>
      </c>
      <c r="I75" s="20">
        <v>0</v>
      </c>
    </row>
    <row r="76" spans="1:9" ht="16.75" customHeight="1">
      <c r="A76" s="19" t="s">
        <v>57</v>
      </c>
      <c r="B76" s="17">
        <v>393.3</v>
      </c>
      <c r="C76" s="17">
        <v>35.4</v>
      </c>
      <c r="D76" s="17">
        <v>4554.3</v>
      </c>
      <c r="E76" s="17">
        <v>-476</v>
      </c>
      <c r="F76" s="17">
        <v>5166.6000000000004</v>
      </c>
      <c r="G76" s="17">
        <v>4392.6000000000004</v>
      </c>
      <c r="H76" s="17">
        <v>8349</v>
      </c>
      <c r="I76" s="17">
        <v>22021.9</v>
      </c>
    </row>
    <row r="77" spans="1:9" ht="16.75" customHeight="1">
      <c r="A77" s="28" t="s">
        <v>53</v>
      </c>
      <c r="B77" s="13">
        <v>0</v>
      </c>
      <c r="C77" s="13">
        <v>0</v>
      </c>
      <c r="D77" s="13">
        <v>0</v>
      </c>
      <c r="E77" s="13">
        <v>0</v>
      </c>
      <c r="F77" s="13">
        <v>8349</v>
      </c>
      <c r="G77" s="13">
        <v>0</v>
      </c>
      <c r="H77" s="13">
        <v>-8349</v>
      </c>
      <c r="I77" s="12">
        <v>0</v>
      </c>
    </row>
    <row r="78" spans="1:9" ht="16.75" customHeight="1"/>
    <row r="79" spans="1:9" ht="16.75" customHeight="1">
      <c r="A79" s="28" t="s">
        <v>43</v>
      </c>
    </row>
    <row r="80" spans="1:9" ht="16.75" customHeight="1">
      <c r="A80" s="14" t="s">
        <v>20</v>
      </c>
      <c r="B80" s="13">
        <v>0</v>
      </c>
      <c r="C80" s="13">
        <v>0</v>
      </c>
      <c r="D80" s="13">
        <v>0</v>
      </c>
      <c r="E80" s="13">
        <v>0</v>
      </c>
      <c r="F80" s="13">
        <v>0</v>
      </c>
      <c r="G80" s="13">
        <v>0</v>
      </c>
      <c r="H80" s="13">
        <v>10213</v>
      </c>
      <c r="I80" s="12">
        <v>10213</v>
      </c>
    </row>
    <row r="81" spans="1:9" ht="16.75" customHeight="1">
      <c r="A81" s="14" t="s">
        <v>22</v>
      </c>
      <c r="B81" s="13">
        <v>0</v>
      </c>
      <c r="C81" s="13">
        <v>0</v>
      </c>
      <c r="D81" s="13">
        <v>0</v>
      </c>
      <c r="E81" s="13">
        <v>0</v>
      </c>
      <c r="F81" s="13">
        <v>0</v>
      </c>
      <c r="G81" s="13">
        <v>14.1</v>
      </c>
      <c r="H81" s="13">
        <v>0</v>
      </c>
      <c r="I81" s="12">
        <v>14.1</v>
      </c>
    </row>
    <row r="82" spans="1:9" ht="16.75" customHeight="1">
      <c r="A82" s="14" t="s">
        <v>26</v>
      </c>
      <c r="B82" s="13">
        <v>0</v>
      </c>
      <c r="C82" s="13">
        <v>0</v>
      </c>
      <c r="D82" s="13">
        <v>0</v>
      </c>
      <c r="E82" s="13">
        <v>0</v>
      </c>
      <c r="F82" s="13">
        <v>0</v>
      </c>
      <c r="G82" s="13">
        <v>416</v>
      </c>
      <c r="H82" s="13">
        <v>0</v>
      </c>
      <c r="I82" s="12">
        <v>416</v>
      </c>
    </row>
    <row r="83" spans="1:9" ht="16.75" customHeight="1">
      <c r="A83" s="14" t="s">
        <v>24</v>
      </c>
      <c r="B83" s="13">
        <v>0</v>
      </c>
      <c r="C83" s="13">
        <v>0</v>
      </c>
      <c r="D83" s="13">
        <v>0</v>
      </c>
      <c r="E83" s="13">
        <v>0</v>
      </c>
      <c r="F83" s="13">
        <v>0</v>
      </c>
      <c r="G83" s="13">
        <v>-262.8</v>
      </c>
      <c r="H83" s="13">
        <v>0</v>
      </c>
      <c r="I83" s="12">
        <v>-262.8</v>
      </c>
    </row>
    <row r="84" spans="1:9" ht="16.75" customHeight="1">
      <c r="A84" s="14" t="s">
        <v>54</v>
      </c>
      <c r="B84" s="13">
        <v>0</v>
      </c>
      <c r="C84" s="13">
        <v>0</v>
      </c>
      <c r="D84" s="13">
        <v>0</v>
      </c>
      <c r="E84" s="13">
        <v>0</v>
      </c>
      <c r="F84" s="13">
        <v>0</v>
      </c>
      <c r="G84" s="13">
        <v>-74.599999999999994</v>
      </c>
      <c r="H84" s="13">
        <v>0</v>
      </c>
      <c r="I84" s="12">
        <v>-74.599999999999994</v>
      </c>
    </row>
    <row r="85" spans="1:9" ht="16.75" customHeight="1">
      <c r="A85" s="28" t="s">
        <v>45</v>
      </c>
      <c r="B85" s="13">
        <v>0</v>
      </c>
      <c r="C85" s="13">
        <v>0</v>
      </c>
      <c r="D85" s="13">
        <v>0</v>
      </c>
      <c r="E85" s="13">
        <v>0</v>
      </c>
      <c r="F85" s="13">
        <v>0</v>
      </c>
      <c r="G85" s="13">
        <v>92.7</v>
      </c>
      <c r="H85" s="13">
        <v>10213</v>
      </c>
      <c r="I85" s="12">
        <v>10305.700000000001</v>
      </c>
    </row>
    <row r="86" spans="1:9" ht="16.75" customHeight="1"/>
    <row r="87" spans="1:9" ht="16.75" customHeight="1">
      <c r="A87" s="14" t="s">
        <v>46</v>
      </c>
      <c r="B87" s="13">
        <v>-8.3000000000000007</v>
      </c>
      <c r="C87" s="13">
        <v>0</v>
      </c>
      <c r="D87" s="13">
        <v>0</v>
      </c>
      <c r="E87" s="13">
        <v>-5950</v>
      </c>
      <c r="F87" s="13">
        <v>0</v>
      </c>
      <c r="G87" s="13">
        <v>0</v>
      </c>
      <c r="H87" s="13">
        <v>0</v>
      </c>
      <c r="I87" s="12">
        <v>-5950</v>
      </c>
    </row>
    <row r="88" spans="1:9" ht="16.75" customHeight="1">
      <c r="A88" s="14" t="s">
        <v>47</v>
      </c>
      <c r="B88" s="13">
        <v>0</v>
      </c>
      <c r="C88" s="13">
        <v>-0.5</v>
      </c>
      <c r="D88" s="13">
        <v>0</v>
      </c>
      <c r="E88" s="13">
        <v>3778.3</v>
      </c>
      <c r="F88" s="13">
        <v>-3777.8</v>
      </c>
      <c r="G88" s="13">
        <v>0</v>
      </c>
      <c r="H88" s="13">
        <v>0</v>
      </c>
      <c r="I88" s="12">
        <v>0</v>
      </c>
    </row>
    <row r="89" spans="1:9" ht="16.75" customHeight="1">
      <c r="A89" s="14" t="s">
        <v>48</v>
      </c>
      <c r="B89" s="13">
        <v>0</v>
      </c>
      <c r="C89" s="13">
        <v>0</v>
      </c>
      <c r="D89" s="13">
        <v>215.4</v>
      </c>
      <c r="E89" s="13">
        <v>0</v>
      </c>
      <c r="F89" s="13">
        <v>0</v>
      </c>
      <c r="G89" s="13">
        <v>0</v>
      </c>
      <c r="H89" s="13">
        <v>0</v>
      </c>
      <c r="I89" s="12">
        <v>215.4</v>
      </c>
    </row>
    <row r="90" spans="1:9" ht="16.75" customHeight="1">
      <c r="A90" s="14" t="s">
        <v>49</v>
      </c>
      <c r="B90" s="13">
        <v>0.4</v>
      </c>
      <c r="C90" s="13">
        <v>0</v>
      </c>
      <c r="D90" s="13">
        <v>-144.19999999999999</v>
      </c>
      <c r="E90" s="13">
        <v>394.8</v>
      </c>
      <c r="F90" s="13">
        <v>-108.3</v>
      </c>
      <c r="G90" s="13">
        <v>0</v>
      </c>
      <c r="H90" s="13">
        <v>0</v>
      </c>
      <c r="I90" s="12">
        <v>142.30000000000001</v>
      </c>
    </row>
    <row r="91" spans="1:9" ht="16.75" customHeight="1">
      <c r="A91" s="14" t="s">
        <v>50</v>
      </c>
      <c r="B91" s="13">
        <v>0</v>
      </c>
      <c r="C91" s="13">
        <v>0</v>
      </c>
      <c r="D91" s="13">
        <v>0</v>
      </c>
      <c r="E91" s="13">
        <v>0</v>
      </c>
      <c r="F91" s="13">
        <v>-2550.3000000000002</v>
      </c>
      <c r="G91" s="13">
        <v>0</v>
      </c>
      <c r="H91" s="13">
        <v>0</v>
      </c>
      <c r="I91" s="12">
        <v>-2550.3000000000002</v>
      </c>
    </row>
    <row r="92" spans="1:9" ht="16.75" customHeight="1">
      <c r="A92" s="22" t="s">
        <v>51</v>
      </c>
      <c r="B92" s="21">
        <v>0</v>
      </c>
      <c r="C92" s="21">
        <v>0</v>
      </c>
      <c r="D92" s="21">
        <v>0</v>
      </c>
      <c r="E92" s="21">
        <v>0</v>
      </c>
      <c r="F92" s="21">
        <v>-757.4</v>
      </c>
      <c r="G92" s="21">
        <v>757.4</v>
      </c>
      <c r="H92" s="21">
        <v>0</v>
      </c>
      <c r="I92" s="20">
        <v>0</v>
      </c>
    </row>
    <row r="93" spans="1:9" ht="16.75" customHeight="1">
      <c r="A93" s="19" t="s">
        <v>58</v>
      </c>
      <c r="B93" s="17">
        <v>385.4</v>
      </c>
      <c r="C93" s="17">
        <v>34.9</v>
      </c>
      <c r="D93" s="17">
        <v>4625.5</v>
      </c>
      <c r="E93" s="17">
        <v>-2252.9</v>
      </c>
      <c r="F93" s="17">
        <v>6321.8</v>
      </c>
      <c r="G93" s="17">
        <v>5242.7</v>
      </c>
      <c r="H93" s="17">
        <v>10213</v>
      </c>
      <c r="I93" s="17">
        <v>24185</v>
      </c>
    </row>
    <row r="94" spans="1:9" ht="16.75" customHeight="1"/>
    <row r="95" spans="1:9" ht="16.75" customHeight="1"/>
    <row r="96" spans="1:9"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row r="106" ht="16.75" customHeight="1"/>
    <row r="107" ht="16.75" customHeight="1"/>
    <row r="108" ht="16.75" customHeight="1"/>
    <row r="109" ht="16.75" customHeight="1"/>
    <row r="110" ht="16.75" customHeight="1"/>
    <row r="111" ht="16.75" customHeight="1"/>
    <row r="112" ht="16.75" customHeight="1"/>
    <row r="113" ht="16.75" customHeight="1"/>
    <row r="114" ht="16.75" customHeight="1"/>
    <row r="115" ht="16.75" customHeight="1"/>
    <row r="116" ht="16.75" customHeight="1"/>
  </sheetData>
  <mergeCells count="6">
    <mergeCell ref="A4:I4"/>
    <mergeCell ref="A3:I3"/>
    <mergeCell ref="A2:I2"/>
    <mergeCell ref="A5:C5"/>
    <mergeCell ref="B8:C8"/>
    <mergeCell ref="A6:I6"/>
  </mergeCells>
  <phoneticPr fontId="202" type="noConversion"/>
  <pageMargins left="0.75" right="0.75" top="1" bottom="1" header="0.5" footer="0.5"/>
  <headerFooter>
    <oddFooter>&amp;R_x000D_&amp;1#&amp;"Arial"&amp;7&amp;K000000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6536-B716-AB42-93E4-9B060CDDDE5A}">
  <dimension ref="A1:E105"/>
  <sheetViews>
    <sheetView showRuler="0" workbookViewId="0">
      <selection activeCell="G12" sqref="G12"/>
    </sheetView>
  </sheetViews>
  <sheetFormatPr baseColWidth="10" defaultColWidth="13" defaultRowHeight="13"/>
  <cols>
    <col min="1" max="1" width="51.6640625" style="11" customWidth="1"/>
    <col min="2" max="27" width="20.1640625" style="11" customWidth="1"/>
    <col min="28" max="16384" width="13" style="11"/>
  </cols>
  <sheetData>
    <row r="1" spans="1:5" ht="22.5" customHeight="1">
      <c r="A1" s="27" t="s">
        <v>11</v>
      </c>
    </row>
    <row r="2" spans="1:5" ht="32.5" customHeight="1">
      <c r="A2" s="540" t="s">
        <v>12</v>
      </c>
      <c r="B2" s="541"/>
      <c r="C2" s="541"/>
      <c r="D2" s="541"/>
    </row>
    <row r="3" spans="1:5" ht="16.75" customHeight="1">
      <c r="A3" s="541"/>
      <c r="B3" s="541"/>
      <c r="C3" s="541"/>
      <c r="D3" s="541"/>
    </row>
    <row r="4" spans="1:5" ht="16.75" customHeight="1">
      <c r="A4" s="540" t="s">
        <v>13</v>
      </c>
      <c r="B4" s="541"/>
      <c r="C4" s="541"/>
      <c r="D4" s="541"/>
    </row>
    <row r="5" spans="1:5" ht="16.75" customHeight="1"/>
    <row r="6" spans="1:5" ht="16.75" customHeight="1">
      <c r="A6" s="545" t="s">
        <v>14</v>
      </c>
      <c r="B6" s="541"/>
      <c r="C6" s="541"/>
      <c r="D6" s="541"/>
    </row>
    <row r="7" spans="1:5" ht="16.75" customHeight="1">
      <c r="A7" s="26"/>
      <c r="B7" s="26"/>
      <c r="C7" s="26"/>
      <c r="D7" s="26"/>
    </row>
    <row r="8" spans="1:5" ht="16.75" customHeight="1">
      <c r="A8" s="25" t="s">
        <v>15</v>
      </c>
      <c r="B8" s="38" t="s">
        <v>16</v>
      </c>
      <c r="C8" s="30" t="s">
        <v>17</v>
      </c>
      <c r="D8" s="30" t="s">
        <v>18</v>
      </c>
      <c r="E8" s="30" t="s">
        <v>19</v>
      </c>
    </row>
    <row r="9" spans="1:5" ht="16.75" customHeight="1">
      <c r="A9" s="19" t="s">
        <v>20</v>
      </c>
      <c r="B9" s="42">
        <v>6395.8</v>
      </c>
      <c r="C9" s="18">
        <v>8115.2</v>
      </c>
      <c r="D9" s="18">
        <v>8349</v>
      </c>
      <c r="E9" s="17">
        <v>10213</v>
      </c>
    </row>
    <row r="10" spans="1:5" ht="16.75" customHeight="1">
      <c r="B10"/>
    </row>
    <row r="11" spans="1:5" ht="16.75" customHeight="1">
      <c r="A11" s="28" t="s">
        <v>21</v>
      </c>
      <c r="B11"/>
    </row>
    <row r="12" spans="1:5" ht="13.25" customHeight="1">
      <c r="A12" s="14" t="s">
        <v>22</v>
      </c>
      <c r="B12" s="40">
        <v>37.700000000000003</v>
      </c>
      <c r="C12" s="13">
        <v>0.2</v>
      </c>
      <c r="D12" s="13">
        <v>-12.1</v>
      </c>
      <c r="E12" s="12">
        <v>14.1</v>
      </c>
    </row>
    <row r="13" spans="1:5" ht="16.75" customHeight="1">
      <c r="B13"/>
      <c r="E13" s="29"/>
    </row>
    <row r="14" spans="1:5" ht="16.75" customHeight="1">
      <c r="A14" s="28" t="s">
        <v>23</v>
      </c>
      <c r="B14"/>
      <c r="E14" s="29"/>
    </row>
    <row r="15" spans="1:5" ht="16.75" customHeight="1">
      <c r="A15" s="14" t="s">
        <v>24</v>
      </c>
      <c r="B15" s="40">
        <v>68.900000000000006</v>
      </c>
      <c r="C15" s="13">
        <v>-67.599999999999994</v>
      </c>
      <c r="D15" s="13">
        <v>93</v>
      </c>
      <c r="E15" s="12">
        <v>-262.8</v>
      </c>
    </row>
    <row r="16" spans="1:5" ht="16.75" customHeight="1">
      <c r="B16" s="29"/>
      <c r="C16" s="29"/>
      <c r="D16" s="29"/>
      <c r="E16" s="29"/>
    </row>
    <row r="17" spans="1:5" ht="16.75" customHeight="1">
      <c r="A17" s="28" t="s">
        <v>25</v>
      </c>
      <c r="B17" s="29"/>
      <c r="C17" s="29"/>
      <c r="D17" s="29"/>
      <c r="E17" s="29"/>
    </row>
    <row r="18" spans="1:5" ht="22.5" customHeight="1">
      <c r="A18" s="14" t="s">
        <v>26</v>
      </c>
      <c r="B18" s="13">
        <v>0</v>
      </c>
      <c r="C18" s="13">
        <v>0</v>
      </c>
      <c r="D18" s="13">
        <v>0</v>
      </c>
      <c r="E18" s="12">
        <v>416</v>
      </c>
    </row>
    <row r="19" spans="1:5" ht="16.75" customHeight="1">
      <c r="A19" s="14" t="s">
        <v>27</v>
      </c>
      <c r="B19" s="40">
        <v>57.6</v>
      </c>
      <c r="C19" s="13">
        <v>-15.8</v>
      </c>
      <c r="D19" s="13">
        <v>38.200000000000003</v>
      </c>
      <c r="E19" s="12">
        <v>-88.4</v>
      </c>
    </row>
    <row r="20" spans="1:5" ht="16.75" customHeight="1">
      <c r="A20" s="22" t="s">
        <v>28</v>
      </c>
      <c r="B20" s="41">
        <v>-66.5</v>
      </c>
      <c r="C20" s="21">
        <v>0.6</v>
      </c>
      <c r="D20" s="21">
        <v>-8.9</v>
      </c>
      <c r="E20" s="20">
        <v>13.8</v>
      </c>
    </row>
    <row r="21" spans="1:5" ht="16.75" customHeight="1">
      <c r="A21" s="19" t="s">
        <v>29</v>
      </c>
      <c r="B21" s="42">
        <v>97.7</v>
      </c>
      <c r="C21" s="18">
        <v>-82.6</v>
      </c>
      <c r="D21" s="18">
        <v>110.2</v>
      </c>
      <c r="E21" s="17">
        <v>92.7</v>
      </c>
    </row>
    <row r="22" spans="1:5" ht="16.75" customHeight="1">
      <c r="B22"/>
      <c r="C22" s="29"/>
      <c r="D22" s="29"/>
      <c r="E22" s="29"/>
    </row>
    <row r="23" spans="1:5" ht="16.75" customHeight="1">
      <c r="A23" s="28" t="s">
        <v>30</v>
      </c>
      <c r="B23" s="40">
        <v>6493.5</v>
      </c>
      <c r="C23" s="13">
        <v>8032.6</v>
      </c>
      <c r="D23" s="13">
        <v>8459.2000000000007</v>
      </c>
      <c r="E23" s="12">
        <v>10305.700000000001</v>
      </c>
    </row>
    <row r="24" spans="1:5" ht="16.75" customHeight="1">
      <c r="A24" s="14" t="s">
        <v>31</v>
      </c>
      <c r="B24" s="40">
        <v>6493.5</v>
      </c>
      <c r="C24" s="13">
        <v>8032.6</v>
      </c>
      <c r="D24" s="13">
        <v>8459.2000000000007</v>
      </c>
      <c r="E24" s="12">
        <v>10305.700000000001</v>
      </c>
    </row>
    <row r="25" spans="1:5" ht="16.75" customHeight="1"/>
    <row r="26" spans="1:5" ht="16.75" customHeight="1"/>
    <row r="27" spans="1:5" ht="16.75" customHeight="1"/>
    <row r="28" spans="1:5" ht="16.75" customHeight="1"/>
    <row r="29" spans="1:5" ht="16.75" customHeight="1"/>
    <row r="30" spans="1:5" ht="16.75" customHeight="1"/>
    <row r="31" spans="1:5" ht="16.75" customHeight="1"/>
    <row r="32" spans="1:5" ht="16.75" customHeight="1"/>
    <row r="33" ht="16.75" customHeight="1"/>
    <row r="34" ht="16.75" customHeight="1"/>
    <row r="35" ht="16.75" customHeight="1"/>
    <row r="36" ht="16.75" customHeight="1"/>
    <row r="37" ht="16.75" customHeight="1"/>
    <row r="38" ht="16.75" customHeight="1"/>
    <row r="39" ht="16.75" customHeight="1"/>
    <row r="40" ht="16.75" customHeight="1"/>
    <row r="41" ht="16.75" customHeight="1"/>
    <row r="42" ht="16.75" customHeight="1"/>
    <row r="43" ht="16.75" customHeight="1"/>
    <row r="44" ht="16.75" customHeight="1"/>
    <row r="45" ht="16.75" customHeight="1"/>
    <row r="46" ht="16.75" customHeight="1"/>
    <row r="47" ht="16.75" customHeight="1"/>
    <row r="48" ht="16.75" customHeight="1"/>
    <row r="49" ht="16.75" customHeight="1"/>
    <row r="50" ht="16.75" customHeight="1"/>
    <row r="51" ht="16.75" customHeight="1"/>
    <row r="52" ht="16.75" customHeight="1"/>
    <row r="53" ht="16.75" customHeight="1"/>
    <row r="54" ht="16.75" customHeight="1"/>
    <row r="55" ht="16.75" customHeight="1"/>
    <row r="56" ht="16.75" customHeight="1"/>
    <row r="57" ht="16.75" customHeight="1"/>
    <row r="58" ht="16.75" customHeight="1"/>
    <row r="59" ht="16.75" customHeight="1"/>
    <row r="60" ht="16.75" customHeight="1"/>
    <row r="61" ht="16.75" customHeight="1"/>
    <row r="62" ht="16.75" customHeight="1"/>
    <row r="63" ht="16.75" customHeight="1"/>
    <row r="64" ht="16.75" customHeight="1"/>
    <row r="65" ht="16.75" customHeight="1"/>
    <row r="66" ht="16.75" customHeight="1"/>
    <row r="67" ht="16.75" customHeight="1"/>
    <row r="68" ht="16.75" customHeight="1"/>
    <row r="69" ht="16.75" customHeight="1"/>
    <row r="70" ht="16.75" customHeight="1"/>
    <row r="71" ht="16.75" customHeight="1"/>
    <row r="72" ht="16.75" customHeight="1"/>
    <row r="73" ht="16.75" customHeight="1"/>
    <row r="74" ht="16.75" customHeight="1"/>
    <row r="75" ht="16.75" customHeight="1"/>
    <row r="76" ht="16.75" customHeight="1"/>
    <row r="77" ht="16.75" customHeight="1"/>
    <row r="78" ht="16.75" customHeight="1"/>
    <row r="79" ht="16.75" customHeight="1"/>
    <row r="80" ht="16.75" customHeight="1"/>
    <row r="81" ht="16.75" customHeight="1"/>
    <row r="82" ht="16.75" customHeight="1"/>
    <row r="83" ht="16.75" customHeight="1"/>
    <row r="84" ht="16.75" customHeight="1"/>
    <row r="85" ht="16.75" customHeight="1"/>
    <row r="86" ht="16.75" customHeight="1"/>
    <row r="87" ht="16.75" customHeight="1"/>
    <row r="88" ht="16.75" customHeight="1"/>
    <row r="89" ht="16.75" customHeight="1"/>
    <row r="90" ht="16.75" customHeight="1"/>
    <row r="91" ht="16.75" customHeight="1"/>
    <row r="92" ht="16.75" customHeight="1"/>
    <row r="93" ht="16.75" customHeight="1"/>
    <row r="94" ht="16.75" customHeight="1"/>
    <row r="95" ht="16.75" customHeight="1"/>
    <row r="96" ht="16.75" customHeight="1"/>
    <row r="97" ht="16.75" customHeight="1"/>
    <row r="98" ht="16.75" customHeight="1"/>
    <row r="99" ht="16.75" customHeight="1"/>
    <row r="100" ht="16.75" customHeight="1"/>
    <row r="101" ht="16.75" customHeight="1"/>
    <row r="102" ht="16.75" customHeight="1"/>
    <row r="103" ht="16.75" customHeight="1"/>
    <row r="104" ht="16.75" customHeight="1"/>
    <row r="105" ht="16.75" customHeight="1"/>
  </sheetData>
  <mergeCells count="4">
    <mergeCell ref="A2:D2"/>
    <mergeCell ref="A4:D4"/>
    <mergeCell ref="A3:D3"/>
    <mergeCell ref="A6:D6"/>
  </mergeCells>
  <pageMargins left="0.75" right="0.75" top="1" bottom="1" header="0.5" footer="0.5"/>
  <headerFooter>
    <oddFooter>&amp;R_x000D_&amp;1#&amp;"Arial"&amp;7&amp;K000000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Final Valuation</vt:lpstr>
      <vt:lpstr>DCF Model</vt:lpstr>
      <vt:lpstr>Growth (g)</vt:lpstr>
      <vt:lpstr>Multiples Valuation </vt:lpstr>
      <vt:lpstr>ASML Revenue Model</vt:lpstr>
      <vt:lpstr>Pro Forma Financial Statement</vt:lpstr>
      <vt:lpstr>WACC</vt:lpstr>
      <vt:lpstr>Cost Analysis</vt:lpstr>
      <vt:lpstr>Profitability Analysis</vt:lpstr>
      <vt:lpstr>Balance Sheet</vt:lpstr>
      <vt:lpstr>Cash Flow</vt:lpstr>
      <vt:lpstr>Statement of Profit or Loss</vt:lpstr>
      <vt:lpstr>Changes in Equity</vt:lpstr>
      <vt:lpstr>Comprehensive Income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Tadeusz Godlewski</dc:creator>
  <cp:keywords/>
  <dc:description/>
  <cp:lastModifiedBy>Tadeusz Godlewski</cp:lastModifiedBy>
  <cp:revision/>
  <dcterms:created xsi:type="dcterms:W3CDTF">2026-03-29T13:58:06Z</dcterms:created>
  <dcterms:modified xsi:type="dcterms:W3CDTF">2026-05-29T18:37:18Z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